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90-Unit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<sst xmlns="http://schemas.openxmlformats.org/spreadsheetml/2006/main" count="843" uniqueCount="251">
  <si>
    <t xml:space="preserve">POWER PARK STUDENT HOUSING — PHASE 3</t>
  </si>
  <si>
    <t xml:space="preserve">Inspection Points to Visit — Project Summary</t>
  </si>
  <si>
    <t xml:space="preserve">190 four-bed units · 3 blocks · snapshot 09 Jun 2026 (DB SNAP 2026-06-09 09:59 UTC)</t>
  </si>
  <si>
    <t xml:space="preserve">TOTAL SCOPE</t>
  </si>
  <si>
    <t xml:space="preserve">PASSED (OK)</t>
  </si>
  <si>
    <t xml:space="preserve">% PASSED</t>
  </si>
  <si>
    <t xml:space="preserve">POINTS TO VISIT</t>
  </si>
  <si>
    <t xml:space="preserve">TRULY CERTIFIED</t>
  </si>
  <si>
    <t xml:space="preserve">inspection points</t>
  </si>
  <si>
    <t xml:space="preserve">points marked MS/OK</t>
  </si>
  <si>
    <t xml:space="preserve">of total scope</t>
  </si>
  <si>
    <t xml:space="preserve">on-site actions remaining</t>
  </si>
  <si>
    <t xml:space="preserve">units, every axis clean</t>
  </si>
  <si>
    <t xml:space="preserve">WHAT REMAINS  (the Points to Visit)</t>
  </si>
  <si>
    <t xml:space="preserve">Pending — not yet inspected</t>
  </si>
  <si>
    <t xml:space="preserve">NTS — failed, awaiting re-mark</t>
  </si>
  <si>
    <t xml:space="preserve">Not installed</t>
  </si>
  <si>
    <t xml:space="preserve">Skipped — previously excluded, now in scope</t>
  </si>
  <si>
    <t xml:space="preserve">Items to Mark (subtotal)</t>
  </si>
  <si>
    <t xml:space="preserve">Latent defects to rectify</t>
  </si>
  <si>
    <t xml:space="preserve">POINTS TO VISIT  (Items to Mark + Latents)</t>
  </si>
  <si>
    <t xml:space="preserve">Reconciliation check:  Passed + Items to Mark  =  Total Scope  →</t>
  </si>
  <si>
    <t xml:space="preserve">BLOCK ROLLUP</t>
  </si>
  <si>
    <t xml:space="preserve">Block</t>
  </si>
  <si>
    <t xml:space="preserve">Units</t>
  </si>
  <si>
    <t xml:space="preserve">Total Points</t>
  </si>
  <si>
    <t xml:space="preserve">Passed</t>
  </si>
  <si>
    <t xml:space="preserve">% Passed</t>
  </si>
  <si>
    <t xml:space="preserve">Points to Visit</t>
  </si>
  <si>
    <t xml:space="preserve">Block 1</t>
  </si>
  <si>
    <t xml:space="preserve">Block 2</t>
  </si>
  <si>
    <t xml:space="preserve">Block 3</t>
  </si>
  <si>
    <t xml:space="preserve">Block 4</t>
  </si>
  <si>
    <t xml:space="preserve">Block 5</t>
  </si>
  <si>
    <t xml:space="preserve">Block 6</t>
  </si>
  <si>
    <t xml:space="preserve">Block 7</t>
  </si>
  <si>
    <t xml:space="preserve">TOTAL</t>
  </si>
  <si>
    <t xml:space="preserve">BLOCK x FLOOR GRID</t>
  </si>
  <si>
    <t xml:space="preserve">Floor</t>
  </si>
  <si>
    <t xml:space="preserve">INSPECTION POINTS TO VISIT  —  190 UNITS  (per-unit detail)</t>
  </si>
  <si>
    <t xml:space="preserve">Total Points = 508 (ground) / 502 (above ground = 508 active points less 6 ground-only burglar-bar items, structurally absent upstairs).   Items to Mark = Pending + NTS + Not Inst + Skipped.   Already OK + Items to Mark = Total Points (row closes).   POINTS TO VISIT = Items to Mark + Latents.   Open Defects shown for context only — NOT added to PTV (they sit on the NTS items already counted).   Source: /var/data/inspections.db, SNAP 2026-06-09 09:59 UTC.</t>
  </si>
  <si>
    <t xml:space="preserve">Unit</t>
  </si>
  <si>
    <t xml:space="preserve">Cycle</t>
  </si>
  <si>
    <t xml:space="preserve">Status</t>
  </si>
  <si>
    <t xml:space="preserve">Already OK</t>
  </si>
  <si>
    <t xml:space="preserve">Pending</t>
  </si>
  <si>
    <t xml:space="preserve">NTS</t>
  </si>
  <si>
    <t xml:space="preserve">Not Inst</t>
  </si>
  <si>
    <t xml:space="preserve">Skipped</t>
  </si>
  <si>
    <t xml:space="preserve">Items to Mark</t>
  </si>
  <si>
    <t xml:space="preserve">Latents</t>
  </si>
  <si>
    <t xml:space="preserve">Open Defects (context — not in PTV)</t>
  </si>
  <si>
    <t xml:space="preserve">101</t>
  </si>
  <si>
    <t xml:space="preserve">C2</t>
  </si>
  <si>
    <t xml:space="preserve">reviewed</t>
  </si>
  <si>
    <t xml:space="preserve">102</t>
  </si>
  <si>
    <t xml:space="preserve">201</t>
  </si>
  <si>
    <t xml:space="preserve">C1</t>
  </si>
  <si>
    <t xml:space="preserve">pending followup</t>
  </si>
  <si>
    <t xml:space="preserve">202</t>
  </si>
  <si>
    <t xml:space="preserve">248</t>
  </si>
  <si>
    <t xml:space="preserve">249</t>
  </si>
  <si>
    <t xml:space="preserve">250</t>
  </si>
  <si>
    <t xml:space="preserve">C3</t>
  </si>
  <si>
    <t xml:space="preserve">submitted</t>
  </si>
  <si>
    <t xml:space="preserve">251</t>
  </si>
  <si>
    <t xml:space="preserve">144</t>
  </si>
  <si>
    <t xml:space="preserve">145</t>
  </si>
  <si>
    <t xml:space="preserve">146</t>
  </si>
  <si>
    <t xml:space="preserve">147</t>
  </si>
  <si>
    <t xml:space="preserve">244</t>
  </si>
  <si>
    <t xml:space="preserve">245</t>
  </si>
  <si>
    <t xml:space="preserve">246</t>
  </si>
  <si>
    <t xml:space="preserve">247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</si>
  <si>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</si>
  <si>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</si>
  <si>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</si>
  <si>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</si>
  <si>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</si>
  <si>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</si>
  <si>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</si>
  <si>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</si>
  <si>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</si>
  <si>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</si>
  <si>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</si>
  <si>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</si>
  <si>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</si>
  <si>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</si>
  <si>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</si>
  <si>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</si>
  <si>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</si>
  <si>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</si>
  <si>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</si>
  <si>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</si>
  <si>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</si>
  <si>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</si>
  <si>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</si>
  <si>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</si>
  <si>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</si>
  <si>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</si>
  <si>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</si>
  <si>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</si>
  <si>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</si>
  <si>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</si>
  <si>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</si>
  <si>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</si>
  <si>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</si>
  <si>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</si>
  <si>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</si>
  <si>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</si>
  <si>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</si>
  <si>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</si>
  <si>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</si>
  <si>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</si>
  <si>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</si>
  <si>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</si>
  <si>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</si>
  <si>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</si>
  <si>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</si>
  <si>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</si>
  <si>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</si>
  <si>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</si>
  <si>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</si>
  <si>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</si>
  <si>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</si>
  <si>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</si>
  <si>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</si>
  <si>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</si>
  <si>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</si>
  <si>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</si>
  <si>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</si>
  <si>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</si>
  <si>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</si>
  <si>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</si>
  <si>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</si>
  <si>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</si>
  <si>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</si>
  <si>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</si>
  <si>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</si>
  <si>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</si>
  <si>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</si>
  <si>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</si>
  <si>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</si>
  <si>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</si>
  <si>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</si>
  <si>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</si>
  <si>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</si>
  <si>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</si>
  <si>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</si>
  <si>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</si>
  <si>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</si>
  <si>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</si>
  <si>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</si>
  <si>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</si>
  <si>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</si>
  <si>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</si>
  <si>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</si>
  <si>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</si>
  <si>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</si>
  <si>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</si>
  <si>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</si>
  <si>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</si>
  <si>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</si>
  <si>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</si>
  <si>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</si>
  <si>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</si>
  <si>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</si>
  <si>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</si>
  <si>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</si>
  <si>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</si>
  <si>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</si>
  <si>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</si>
  <si>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</si>
  <si>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</si>
  <si>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</si>
  <si>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</si>
  <si>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</si>
  <si>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</si>
  <si>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</si>
  <si>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</si>
  <si>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</si>
  <si>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</si>
  <si>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</si>
  <si>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</si>
  <si>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</si>
  <si>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</si>
  <si>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</si>
  <si>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</si>
  <si>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</si>
  <si>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</si>
  <si>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</si>
  <si>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</si>
  <si>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</si>
  <si>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</si>
  <si>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paused — RE-INSPECT (data-loss)</t>
  </si>
  <si>
    <t xml:space="preserve">243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</si>
  <si>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</si>
  <si>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</si>
  <si>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</si>
  <si>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</si>
  <si>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</si>
  <si>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046</t>
  </si>
  <si>
    <t xml:space="preserve">047</t>
  </si>
  <si>
    <t xml:space="preserve">048</t>
  </si>
  <si>
    <t xml:space="preserve">049</t>
  </si>
  <si>
    <t xml:space="preserve">050</t>
  </si>
  <si>
    <t xml:space="preserve">051</t>
  </si>
  <si>
    <t xml:space="preserve">052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</si>
  <si>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</si>
  <si>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</si>
  <si>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</si>
  <si>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</si>
  <si>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</si>
  <si>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</si>
  <si>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</si>
  <si>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</si>
  <si>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</si>
  <si>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</si>
  <si>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</si>
  <si>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</si>
  <si>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</si>
  <si>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</si>
  <si>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</si>
  <si>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</si>
  <si>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</si>
  <si>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</si>
  <si>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</si>
  <si>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</si>
  <si>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</si>
  <si>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</si>
  <si>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</si>
  <si>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</si>
  <si>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053</t>
  </si>
  <si>
    <t xml:space="preserve">054</t>
  </si>
  <si>
    <t xml:space="preserve">055</t>
  </si>
  <si>
    <t xml:space="preserve">056</t>
  </si>
  <si>
    <t xml:space="preserve">057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</si>
  <si>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</si>
  <si>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</si>
  <si>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</si>
  <si>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</si>
  <si>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</si>
  <si>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</si>
  <si>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264</t>
  </si>
  <si>
    <t xml:space="preserve">265</t>
  </si>
  <si>
    <t xml:space="preserve">266</t>
  </si>
  <si>
    <t xml:space="preserve">267</t>
  </si>
  <si>
    <t xml:space="preserve">in progress</t>
  </si>
  <si>
    <t xml:space="preserve">268</t>
  </si>
  <si>
    <t xml:space="preserve">269</t>
  </si>
  <si>
    <t xml:space="preserve">PROJECT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</si>
</sst>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"/>
    <numFmt numFmtId="168" formatCode="0;\-0;\–"/>
    <numFmt numFmtId="169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A0A"/>
      <name val="Arial"/>
      <family val="2"/>
      <charset val="1"/>
    </font>
    <font>
      <sz val="11"/>
      <color rgb="FF9A9A9A"/>
      <name val="Arial"/>
      <family val="2"/>
      <charset val="1"/>
    </font>
    <font>
      <i val="true"/>
      <sz val="9"/>
      <color rgb="FF9A9A9A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8"/>
      <color rgb="FF0A0A0A"/>
      <name val="Arial"/>
      <family val="2"/>
      <charset val="1"/>
    </font>
    <font>
      <b val="true"/>
      <sz val="18"/>
      <color rgb="FFC8963E"/>
      <name val="Arial"/>
      <family val="2"/>
      <charset val="1"/>
    </font>
    <font>
      <sz val="8"/>
      <color rgb="FF9A9A9A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i val="true"/>
      <sz val="9"/>
      <color rgb="FF2E7D32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i val="true"/>
      <sz val="8"/>
      <color rgb="FF40404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5F3EE"/>
        <bgColor rgb="FFEDEDED"/>
      </patternFill>
    </fill>
    <fill>
      <patternFill patternType="solid">
        <fgColor rgb="FFC8963E"/>
        <bgColor rgb="FF9A9A9A"/>
      </patternFill>
    </fill>
    <fill>
      <patternFill patternType="solid">
        <fgColor rgb="FFEDEDED"/>
        <bgColor rgb="FFF5F3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EAD3"/>
        </patternFill>
      </fill>
    </dxf>
    <dxf>
      <fill>
        <patternFill>
          <bgColor rgb="FFC6E0B4"/>
        </patternFill>
      </fill>
    </dxf>
    <dxf>
      <fill>
        <patternFill>
          <bgColor rgb="FFFFE599"/>
        </patternFill>
      </fill>
    </dxf>
    <dxf>
      <fill>
        <patternFill>
          <bgColor rgb="FFF4B6B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5F3EE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B6B0"/>
      <rgbColor rgb="FFCC99FF"/>
      <rgbColor rgb="FFFFE599"/>
      <rgbColor rgb="FF3366FF"/>
      <rgbColor rgb="FF33CCCC"/>
      <rgbColor rgb="FF99CC00"/>
      <rgbColor rgb="FFFFCC00"/>
      <rgbColor rgb="FFC8963E"/>
      <rgbColor rgb="FFFF6600"/>
      <rgbColor rgb="FF666699"/>
      <rgbColor rgb="FF9A9A9A"/>
      <rgbColor rgb="FF003366"/>
      <rgbColor rgb="FF2E7D32"/>
      <rgbColor rgb="FF0A0A0A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9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3"/>
    <col collapsed="false" customWidth="true" hidden="false" outlineLevel="0" max="10" min="10" style="0" width="14.3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.75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</row>
    <row r="6" customFormat="false" ht="33.75" hidden="false" customHeight="true" outlineLevel="0" collapsed="false">
      <c r="A6" s="5" t="n">
        <f aca="false">'190-Unit Detail'!F194</f>
        <v>95716</v>
      </c>
      <c r="B6" s="5"/>
      <c r="C6" s="5" t="n">
        <f aca="false">'190-Unit Detail'!G194</f>
        <v>83046</v>
      </c>
      <c r="D6" s="5"/>
      <c r="E6" s="6" t="n">
        <f aca="false">'190-Unit Detail'!G194/'190-Unit Detail'!F194</f>
        <v>0.867629236491287</v>
      </c>
      <c r="F6" s="6"/>
      <c r="G6" s="5" t="n">
        <f aca="false">'190-Unit Detail'!N194</f>
        <v>12739</v>
      </c>
      <c r="H6" s="5"/>
      <c r="I6" s="7" t="n">
        <f aca="false">COUNTIFS('190-Unit Detail'!N4:N193,0)</f>
        <v>2</v>
      </c>
      <c r="J6" s="7"/>
    </row>
    <row r="7" customFormat="false" ht="13.5" hidden="false" customHeight="true" outlineLevel="0" collapsed="false">
      <c r="A7" s="8" t="s">
        <v>8</v>
      </c>
      <c r="B7" s="8"/>
      <c r="C7" s="8" t="s">
        <v>9</v>
      </c>
      <c r="D7" s="8"/>
      <c r="E7" s="8" t="s">
        <v>10</v>
      </c>
      <c r="F7" s="8"/>
      <c r="G7" s="8" t="s">
        <v>11</v>
      </c>
      <c r="H7" s="8"/>
      <c r="I7" s="8" t="s">
        <v>12</v>
      </c>
      <c r="J7" s="8"/>
    </row>
    <row r="9" customFormat="false" ht="19.5" hidden="false" customHeight="true" outlineLevel="0" collapsed="false">
      <c r="A9" s="9" t="s">
        <v>13</v>
      </c>
      <c r="B9" s="9"/>
      <c r="C9" s="9"/>
      <c r="D9" s="9"/>
    </row>
    <row r="10" customFormat="false" ht="15" hidden="false" customHeight="true" outlineLevel="0" collapsed="false">
      <c r="A10" s="10" t="s">
        <v>14</v>
      </c>
      <c r="B10" s="10"/>
      <c r="C10" s="10"/>
      <c r="D10" s="11" t="n">
        <f aca="false">'190-Unit Detail'!H194</f>
        <v>5881</v>
      </c>
    </row>
    <row r="11" customFormat="false" ht="15" hidden="false" customHeight="true" outlineLevel="0" collapsed="false">
      <c r="A11" s="10" t="s">
        <v>15</v>
      </c>
      <c r="B11" s="10"/>
      <c r="C11" s="10"/>
      <c r="D11" s="11" t="n">
        <f aca="false">'190-Unit Detail'!I194</f>
        <v>2140</v>
      </c>
    </row>
    <row r="12" customFormat="false" ht="15" hidden="false" customHeight="true" outlineLevel="0" collapsed="false">
      <c r="A12" s="10" t="s">
        <v>16</v>
      </c>
      <c r="B12" s="10"/>
      <c r="C12" s="10"/>
      <c r="D12" s="11" t="n">
        <f aca="false">'190-Unit Detail'!J194</f>
        <v>12</v>
      </c>
    </row>
    <row r="13" customFormat="false" ht="15" hidden="false" customHeight="true" outlineLevel="0" collapsed="false">
      <c r="A13" s="10" t="s">
        <v>17</v>
      </c>
      <c r="B13" s="10"/>
      <c r="C13" s="10"/>
      <c r="D13" s="11" t="n">
        <f aca="false">'190-Unit Detail'!K194</f>
        <v>4637</v>
      </c>
    </row>
    <row r="14" customFormat="false" ht="15" hidden="false" customHeight="true" outlineLevel="0" collapsed="false">
      <c r="A14" s="12" t="s">
        <v>18</v>
      </c>
      <c r="B14" s="12"/>
      <c r="C14" s="12"/>
      <c r="D14" s="13" t="n">
        <f aca="false">'190-Unit Detail'!L194</f>
        <v>12670</v>
      </c>
    </row>
    <row r="15" customFormat="false" ht="15" hidden="false" customHeight="true" outlineLevel="0" collapsed="false">
      <c r="A15" s="10" t="s">
        <v>19</v>
      </c>
      <c r="B15" s="10"/>
      <c r="C15" s="10"/>
      <c r="D15" s="11" t="n">
        <f aca="false">'190-Unit Detail'!M194</f>
        <v>69</v>
      </c>
    </row>
    <row r="16" customFormat="false" ht="15" hidden="false" customHeight="true" outlineLevel="0" collapsed="false">
      <c r="A16" s="14" t="s">
        <v>20</v>
      </c>
      <c r="B16" s="14"/>
      <c r="C16" s="14"/>
      <c r="D16" s="15" t="n">
        <f aca="false">'190-Unit Detail'!N194</f>
        <v>12739</v>
      </c>
    </row>
    <row r="17" customFormat="false" ht="15" hidden="false" customHeight="true" outlineLevel="0" collapsed="false">
      <c r="A17" s="16" t="s">
        <v>21</v>
      </c>
      <c r="B17" s="16"/>
      <c r="C17" s="16"/>
      <c r="D17" s="17" t="n">
        <f aca="false">'190-Unit Detail'!G194+'190-Unit Detail'!L194</f>
        <v>95716</v>
      </c>
    </row>
    <row r="19" customFormat="false" ht="19.5" hidden="false" customHeight="true" outlineLevel="0" collapsed="false">
      <c r="A19" s="9" t="s">
        <v>22</v>
      </c>
      <c r="B19" s="9"/>
      <c r="C19" s="9"/>
      <c r="D19" s="9"/>
      <c r="E19" s="9"/>
      <c r="F19" s="9"/>
      <c r="G19" s="9"/>
    </row>
    <row r="20" customFormat="false" ht="15" hidden="false" customHeight="true" outlineLevel="0" collapsed="false">
      <c r="A20" s="4" t="s">
        <v>23</v>
      </c>
      <c r="B20" s="4"/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</row>
    <row r="21" customFormat="false" ht="15" hidden="false" customHeight="true" outlineLevel="0" collapsed="false">
      <c r="A21" s="18" t="s">
        <v>29</v>
      </c>
      <c r="B21" s="18"/>
      <c r="C21" s="19" t="n">
        <f aca="false">COUNTIFS('190-Unit Detail'!B4:B193,"Block 1")</f>
        <v>8</v>
      </c>
      <c r="D21" s="20" t="n">
        <f aca="false">SUMIFS('190-Unit Detail'!F4:F193,'190-Unit Detail'!B4:B193,"Block 1")</f>
        <v>4016</v>
      </c>
      <c r="E21" s="20" t="n">
        <f aca="false">SUMIFS('190-Unit Detail'!G4:G193,'190-Unit Detail'!B4:B193,"Block 1")</f>
        <v>3457</v>
      </c>
      <c r="F21" s="21" t="n">
        <f aca="false">IF(SUMIFS('190-Unit Detail'!F4:F193,'190-Unit Detail'!B4:B193,"Block 1")=0,0,SUMIFS('190-Unit Detail'!G4:G193,'190-Unit Detail'!B4:B193,"Block 1")/SUMIFS('190-Unit Detail'!F4:F193,'190-Unit Detail'!B4:B193,"Block 1"))</f>
        <v>0.860806772908367</v>
      </c>
      <c r="G21" s="20" t="n">
        <f aca="false">SUMIFS('190-Unit Detail'!N4:N193,'190-Unit Detail'!B4:B193,"Block 1")</f>
        <v>560</v>
      </c>
    </row>
    <row r="22" customFormat="false" ht="15" hidden="false" customHeight="true" outlineLevel="0" collapsed="false">
      <c r="A22" s="18" t="s">
        <v>30</v>
      </c>
      <c r="B22" s="18"/>
      <c r="C22" s="19" t="n">
        <f aca="false">COUNTIFS('190-Unit Detail'!B4:B193,"Block 2")</f>
        <v>8</v>
      </c>
      <c r="D22" s="20" t="n">
        <f aca="false">SUMIFS('190-Unit Detail'!F4:F193,'190-Unit Detail'!B4:B193,"Block 2")</f>
        <v>4016</v>
      </c>
      <c r="E22" s="20" t="n">
        <f aca="false">SUMIFS('190-Unit Detail'!G4:G193,'190-Unit Detail'!B4:B193,"Block 2")</f>
        <v>3217</v>
      </c>
      <c r="F22" s="21" t="n">
        <f aca="false">IF(SUMIFS('190-Unit Detail'!F4:F193,'190-Unit Detail'!B4:B193,"Block 2")=0,0,SUMIFS('190-Unit Detail'!G4:G193,'190-Unit Detail'!B4:B193,"Block 2")/SUMIFS('190-Unit Detail'!F4:F193,'190-Unit Detail'!B4:B193,"Block 2"))</f>
        <v>0.801045816733068</v>
      </c>
      <c r="G22" s="20" t="n">
        <f aca="false">SUMIFS('190-Unit Detail'!N4:N193,'190-Unit Detail'!B4:B193,"Block 2")</f>
        <v>799</v>
      </c>
    </row>
    <row r="23" customFormat="false" ht="15" hidden="false" customHeight="true" outlineLevel="0" collapsed="false">
      <c r="A23" s="18" t="s">
        <v>31</v>
      </c>
      <c r="B23" s="18"/>
      <c r="C23" s="19" t="n">
        <f aca="false">COUNTIFS('190-Unit Detail'!B4:B193,"Block 3")</f>
        <v>37</v>
      </c>
      <c r="D23" s="20" t="n">
        <f aca="false">SUMIFS('190-Unit Detail'!F4:F193,'190-Unit Detail'!B4:B193,"Block 3")</f>
        <v>18640</v>
      </c>
      <c r="E23" s="20" t="n">
        <f aca="false">SUMIFS('190-Unit Detail'!G4:G193,'190-Unit Detail'!B4:B193,"Block 3")</f>
        <v>16350</v>
      </c>
      <c r="F23" s="21" t="n">
        <f aca="false">IF(SUMIFS('190-Unit Detail'!F4:F193,'190-Unit Detail'!B4:B193,"Block 3")=0,0,SUMIFS('190-Unit Detail'!G4:G193,'190-Unit Detail'!B4:B193,"Block 3")/SUMIFS('190-Unit Detail'!F4:F193,'190-Unit Detail'!B4:B193,"Block 3"))</f>
        <v>0.877145922746781</v>
      </c>
      <c r="G23" s="20" t="n">
        <f aca="false">SUMIFS('190-Unit Detail'!N4:N193,'190-Unit Detail'!B4:B193,"Block 3")</f>
        <v>2296</v>
      </c>
    </row>
    <row r="24" customFormat="false" ht="15" hidden="false" customHeight="true" outlineLevel="0" collapsed="false">
      <c r="A24" s="18" t="s">
        <v>32</v>
      </c>
      <c r="B24" s="18"/>
      <c r="C24" s="19" t="n">
        <f aca="false">COUNTIFS('190-Unit Detail'!B4:B193,"Block 4")</f>
        <v>42</v>
      </c>
      <c r="D24" s="20" t="n">
        <f aca="false">SUMIFS('190-Unit Detail'!F4:F193,'190-Unit Detail'!B4:B193,"Block 4")</f>
        <v>21168</v>
      </c>
      <c r="E24" s="20" t="n">
        <f aca="false">SUMIFS('190-Unit Detail'!G4:G193,'190-Unit Detail'!B4:B193,"Block 4")</f>
        <v>18271</v>
      </c>
      <c r="F24" s="21" t="n">
        <f aca="false">IF(SUMIFS('190-Unit Detail'!F4:F193,'190-Unit Detail'!B4:B193,"Block 4")=0,0,SUMIFS('190-Unit Detail'!G4:G193,'190-Unit Detail'!B4:B193,"Block 4")/SUMIFS('190-Unit Detail'!F4:F193,'190-Unit Detail'!B4:B193,"Block 4"))</f>
        <v>0.863142479213908</v>
      </c>
      <c r="G24" s="20" t="n">
        <f aca="false">SUMIFS('190-Unit Detail'!N4:N193,'190-Unit Detail'!B4:B193,"Block 4")</f>
        <v>2930</v>
      </c>
    </row>
    <row r="25" customFormat="false" ht="15" hidden="false" customHeight="false" outlineLevel="0" collapsed="false">
      <c r="A25" s="18" t="s">
        <v>33</v>
      </c>
      <c r="B25" s="18"/>
      <c r="C25" s="19" t="n">
        <f aca="false">COUNTIFS('190-Unit Detail'!B4:B193,"Block 5")</f>
        <v>42</v>
      </c>
      <c r="D25" s="20" t="n">
        <f aca="false">SUMIFS('190-Unit Detail'!F4:F193,'190-Unit Detail'!B4:B193,"Block 5")</f>
        <v>21168</v>
      </c>
      <c r="E25" s="20" t="n">
        <f aca="false">SUMIFS('190-Unit Detail'!G4:G193,'190-Unit Detail'!B4:B193,"Block 5")</f>
        <v>18964</v>
      </c>
      <c r="F25" s="21" t="n">
        <f aca="false">IF(SUMIFS('190-Unit Detail'!F4:F193,'190-Unit Detail'!B4:B193,"Block 5")=0,0,SUMIFS('190-Unit Detail'!G4:G193,'190-Unit Detail'!B4:B193,"Block 5")/SUMIFS('190-Unit Detail'!F4:F193,'190-Unit Detail'!B4:B193,"Block 5"))</f>
        <v>0.895880574452003</v>
      </c>
      <c r="G25" s="20" t="n">
        <f aca="false">SUMIFS('190-Unit Detail'!N4:N193,'190-Unit Detail'!B4:B193,"Block 5")</f>
        <v>2204</v>
      </c>
    </row>
    <row r="26" customFormat="false" ht="15" hidden="false" customHeight="false" outlineLevel="0" collapsed="false">
      <c r="A26" s="18" t="s">
        <v>34</v>
      </c>
      <c r="B26" s="18"/>
      <c r="C26" s="19" t="n">
        <f aca="false">COUNTIFS('190-Unit Detail'!B4:B193,"Block 6")</f>
        <v>36</v>
      </c>
      <c r="D26" s="20" t="n">
        <f aca="false">SUMIFS('190-Unit Detail'!F4:F193,'190-Unit Detail'!B4:B193,"Block 6")</f>
        <v>18144</v>
      </c>
      <c r="E26" s="20" t="n">
        <f aca="false">SUMIFS('190-Unit Detail'!G4:G193,'190-Unit Detail'!B4:B193,"Block 6")</f>
        <v>15832</v>
      </c>
      <c r="F26" s="21" t="n">
        <f aca="false">IF(SUMIFS('190-Unit Detail'!F4:F193,'190-Unit Detail'!B4:B193,"Block 6")=0,0,SUMIFS('190-Unit Detail'!G4:G193,'190-Unit Detail'!B4:B193,"Block 6")/SUMIFS('190-Unit Detail'!F4:F193,'190-Unit Detail'!B4:B193,"Block 6"))</f>
        <v>0.872574955908289</v>
      </c>
      <c r="G26" s="20" t="n">
        <f aca="false">SUMIFS('190-Unit Detail'!N4:N193,'190-Unit Detail'!B4:B193,"Block 6")</f>
        <v>2338</v>
      </c>
    </row>
    <row r="27" customFormat="false" ht="15" hidden="false" customHeight="false" outlineLevel="0" collapsed="false">
      <c r="A27" s="18" t="s">
        <v>35</v>
      </c>
      <c r="B27" s="18"/>
      <c r="C27" s="19" t="n">
        <f aca="false">COUNTIFS('190-Unit Detail'!B4:B193,"Block 7")</f>
        <v>17</v>
      </c>
      <c r="D27" s="20" t="n">
        <f aca="false">SUMIFS('190-Unit Detail'!F4:F193,'190-Unit Detail'!B4:B193,"Block 7")</f>
        <v>8564</v>
      </c>
      <c r="E27" s="20" t="n">
        <f aca="false">SUMIFS('190-Unit Detail'!G4:G193,'190-Unit Detail'!B4:B193,"Block 7")</f>
        <v>6955</v>
      </c>
      <c r="F27" s="21" t="n">
        <f aca="false">IF(SUMIFS('190-Unit Detail'!F4:F193,'190-Unit Detail'!B4:B193,"Block 7")=0,0,SUMIFS('190-Unit Detail'!G4:G193,'190-Unit Detail'!B4:B193,"Block 7")/SUMIFS('190-Unit Detail'!F4:F193,'190-Unit Detail'!B4:B193,"Block 7"))</f>
        <v>0.812120504437179</v>
      </c>
      <c r="G27" s="20" t="n">
        <f aca="false">SUMIFS('190-Unit Detail'!N4:N193,'190-Unit Detail'!B4:B193,"Block 7")</f>
        <v>1612</v>
      </c>
    </row>
    <row r="28" customFormat="false" ht="15" hidden="false" customHeight="false" outlineLevel="0" collapsed="false">
      <c r="A28" s="22" t="s">
        <v>36</v>
      </c>
      <c r="B28" s="22"/>
      <c r="C28" s="23" t="n">
        <f aca="false">SUM(C21:C27)</f>
        <v>190</v>
      </c>
      <c r="D28" s="24" t="n">
        <f aca="false">SUM(D21:D27)</f>
        <v>95716</v>
      </c>
      <c r="E28" s="24" t="n">
        <f aca="false">SUM(E21:E27)</f>
        <v>83046</v>
      </c>
      <c r="F28" s="25" t="n">
        <f aca="false">IF(D28=0,0,E28/D28)</f>
        <v>0.867629236491287</v>
      </c>
      <c r="G28" s="24" t="n">
        <f aca="false">SUM(G21:G27)</f>
        <v>12739</v>
      </c>
    </row>
    <row r="30" customFormat="false" ht="15" hidden="false" customHeight="false" outlineLevel="0" collapsed="false">
      <c r="A30" s="9" t="s">
        <v>37</v>
      </c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4" t="s">
        <v>23</v>
      </c>
      <c r="B31" s="4" t="s">
        <v>38</v>
      </c>
      <c r="C31" s="4" t="s">
        <v>24</v>
      </c>
      <c r="D31" s="4" t="s">
        <v>25</v>
      </c>
      <c r="E31" s="4" t="s">
        <v>26</v>
      </c>
      <c r="F31" s="4" t="s">
        <v>27</v>
      </c>
      <c r="G31" s="4" t="s">
        <v>28</v>
      </c>
    </row>
    <row r="32" customFormat="false" ht="15" hidden="false" customHeight="false" outlineLevel="0" collapsed="false">
      <c r="A32" s="18" t="s">
        <v>29</v>
      </c>
      <c r="B32" s="18" t="n">
        <v>1</v>
      </c>
      <c r="C32" s="19" t="n">
        <f aca="false">COUNTIFS('190-Unit Detail'!B4:B193,"Block 1",'190-Unit Detail'!C4:C193,1)</f>
        <v>2</v>
      </c>
      <c r="D32" s="20" t="n">
        <f aca="false">SUMIFS('190-Unit Detail'!F4:F193,'190-Unit Detail'!B4:B193,"Block 1",'190-Unit Detail'!C4:C193,1)</f>
        <v>1004</v>
      </c>
      <c r="E32" s="20" t="n">
        <f aca="false">SUMIFS('190-Unit Detail'!G4:G193,'190-Unit Detail'!B4:B193,"Block 1",'190-Unit Detail'!C4:C193,1)</f>
        <v>954</v>
      </c>
      <c r="F32" s="21" t="n">
        <f aca="false">IF(SUMIFS('190-Unit Detail'!F4:F193,'190-Unit Detail'!B4:B193,"Block 1",'190-Unit Detail'!C4:C193,1)=0,0,SUMIFS('190-Unit Detail'!G4:G193,'190-Unit Detail'!B4:B193,"Block 1",'190-Unit Detail'!C4:C193,1)/SUMIFS('190-Unit Detail'!F4:F193,'190-Unit Detail'!B4:B193,"Block 1",'190-Unit Detail'!C4:C193,1))</f>
        <v>0.950199203187251</v>
      </c>
      <c r="G32" s="20" t="n">
        <f aca="false">SUMIFS('190-Unit Detail'!N4:N193,'190-Unit Detail'!B4:B193,"Block 1",'190-Unit Detail'!C4:C193,1)</f>
        <v>50</v>
      </c>
    </row>
    <row r="33" customFormat="false" ht="15" hidden="false" customHeight="false" outlineLevel="0" collapsed="false">
      <c r="A33" s="18" t="s">
        <v>29</v>
      </c>
      <c r="B33" s="18" t="n">
        <v>2</v>
      </c>
      <c r="C33" s="19" t="n">
        <f aca="false">COUNTIFS('190-Unit Detail'!B4:B193,"Block 1",'190-Unit Detail'!C4:C193,2)</f>
        <v>6</v>
      </c>
      <c r="D33" s="20" t="n">
        <f aca="false">SUMIFS('190-Unit Detail'!F4:F193,'190-Unit Detail'!B4:B193,"Block 1",'190-Unit Detail'!C4:C193,2)</f>
        <v>3012</v>
      </c>
      <c r="E33" s="20" t="n">
        <f aca="false">SUMIFS('190-Unit Detail'!G4:G193,'190-Unit Detail'!B4:B193,"Block 1",'190-Unit Detail'!C4:C193,2)</f>
        <v>2503</v>
      </c>
      <c r="F33" s="21" t="n">
        <f aca="false">IF(SUMIFS('190-Unit Detail'!F4:F193,'190-Unit Detail'!B4:B193,"Block 1",'190-Unit Detail'!C4:C193,2)=0,0,SUMIFS('190-Unit Detail'!G4:G193,'190-Unit Detail'!B4:B193,"Block 1",'190-Unit Detail'!C4:C193,2)/SUMIFS('190-Unit Detail'!F4:F193,'190-Unit Detail'!B4:B193,"Block 1",'190-Unit Detail'!C4:C193,2))</f>
        <v>0.831009296148738</v>
      </c>
      <c r="G33" s="20" t="n">
        <f aca="false">SUMIFS('190-Unit Detail'!N4:N193,'190-Unit Detail'!B4:B193,"Block 1",'190-Unit Detail'!C4:C193,2)</f>
        <v>510</v>
      </c>
    </row>
    <row r="34" customFormat="false" ht="15" hidden="false" customHeight="false" outlineLevel="0" collapsed="false">
      <c r="A34" s="18" t="s">
        <v>30</v>
      </c>
      <c r="B34" s="18" t="n">
        <v>1</v>
      </c>
      <c r="C34" s="19" t="n">
        <f aca="false">COUNTIFS('190-Unit Detail'!B4:B193,"Block 2",'190-Unit Detail'!C4:C193,1)</f>
        <v>4</v>
      </c>
      <c r="D34" s="20" t="n">
        <f aca="false">SUMIFS('190-Unit Detail'!F4:F193,'190-Unit Detail'!B4:B193,"Block 2",'190-Unit Detail'!C4:C193,1)</f>
        <v>2008</v>
      </c>
      <c r="E34" s="20" t="n">
        <f aca="false">SUMIFS('190-Unit Detail'!G4:G193,'190-Unit Detail'!B4:B193,"Block 2",'190-Unit Detail'!C4:C193,1)</f>
        <v>1524</v>
      </c>
      <c r="F34" s="21" t="n">
        <f aca="false">IF(SUMIFS('190-Unit Detail'!F4:F193,'190-Unit Detail'!B4:B193,"Block 2",'190-Unit Detail'!C4:C193,1)=0,0,SUMIFS('190-Unit Detail'!G4:G193,'190-Unit Detail'!B4:B193,"Block 2",'190-Unit Detail'!C4:C193,1)/SUMIFS('190-Unit Detail'!F4:F193,'190-Unit Detail'!B4:B193,"Block 2",'190-Unit Detail'!C4:C193,1))</f>
        <v>0.758964143426295</v>
      </c>
      <c r="G34" s="20" t="n">
        <f aca="false">SUMIFS('190-Unit Detail'!N4:N193,'190-Unit Detail'!B4:B193,"Block 2",'190-Unit Detail'!C4:C193,1)</f>
        <v>484</v>
      </c>
    </row>
    <row r="35" customFormat="false" ht="15" hidden="false" customHeight="false" outlineLevel="0" collapsed="false">
      <c r="A35" s="18" t="s">
        <v>30</v>
      </c>
      <c r="B35" s="18" t="n">
        <v>2</v>
      </c>
      <c r="C35" s="19" t="n">
        <f aca="false">COUNTIFS('190-Unit Detail'!B4:B193,"Block 2",'190-Unit Detail'!C4:C193,2)</f>
        <v>4</v>
      </c>
      <c r="D35" s="20" t="n">
        <f aca="false">SUMIFS('190-Unit Detail'!F4:F193,'190-Unit Detail'!B4:B193,"Block 2",'190-Unit Detail'!C4:C193,2)</f>
        <v>2008</v>
      </c>
      <c r="E35" s="20" t="n">
        <f aca="false">SUMIFS('190-Unit Detail'!G4:G193,'190-Unit Detail'!B4:B193,"Block 2",'190-Unit Detail'!C4:C193,2)</f>
        <v>1693</v>
      </c>
      <c r="F35" s="21" t="n">
        <f aca="false">IF(SUMIFS('190-Unit Detail'!F4:F193,'190-Unit Detail'!B4:B193,"Block 2",'190-Unit Detail'!C4:C193,2)=0,0,SUMIFS('190-Unit Detail'!G4:G193,'190-Unit Detail'!B4:B193,"Block 2",'190-Unit Detail'!C4:C193,2)/SUMIFS('190-Unit Detail'!F4:F193,'190-Unit Detail'!B4:B193,"Block 2",'190-Unit Detail'!C4:C193,2))</f>
        <v>0.843127490039841</v>
      </c>
      <c r="G35" s="20" t="n">
        <f aca="false">SUMIFS('190-Unit Detail'!N4:N193,'190-Unit Detail'!B4:B193,"Block 2",'190-Unit Detail'!C4:C193,2)</f>
        <v>315</v>
      </c>
    </row>
    <row r="36" customFormat="false" ht="15" hidden="false" customHeight="false" outlineLevel="0" collapsed="false">
      <c r="A36" s="18" t="s">
        <v>31</v>
      </c>
      <c r="B36" s="18" t="n">
        <v>0</v>
      </c>
      <c r="C36" s="19" t="n">
        <f aca="false">COUNTIFS('190-Unit Detail'!B4:B193,"Block 3",'190-Unit Detail'!C4:C193,0)</f>
        <v>11</v>
      </c>
      <c r="D36" s="20" t="n">
        <f aca="false">SUMIFS('190-Unit Detail'!F4:F193,'190-Unit Detail'!B4:B193,"Block 3",'190-Unit Detail'!C4:C193,0)</f>
        <v>5588</v>
      </c>
      <c r="E36" s="20" t="n">
        <f aca="false">SUMIFS('190-Unit Detail'!G4:G193,'190-Unit Detail'!B4:B193,"Block 3",'190-Unit Detail'!C4:C193,0)</f>
        <v>4852</v>
      </c>
      <c r="F36" s="21" t="n">
        <f aca="false">IF(SUMIFS('190-Unit Detail'!F4:F193,'190-Unit Detail'!B4:B193,"Block 3",'190-Unit Detail'!C4:C193,0)=0,0,SUMIFS('190-Unit Detail'!G4:G193,'190-Unit Detail'!B4:B193,"Block 3",'190-Unit Detail'!C4:C193,0)/SUMIFS('190-Unit Detail'!F4:F193,'190-Unit Detail'!B4:B193,"Block 3",'190-Unit Detail'!C4:C193,0))</f>
        <v>0.868289191123837</v>
      </c>
      <c r="G36" s="20" t="n">
        <f aca="false">SUMIFS('190-Unit Detail'!N4:N193,'190-Unit Detail'!B4:B193,"Block 3",'190-Unit Detail'!C4:C193,0)</f>
        <v>742</v>
      </c>
    </row>
    <row r="37" customFormat="false" ht="15" hidden="false" customHeight="false" outlineLevel="0" collapsed="false">
      <c r="A37" s="18" t="s">
        <v>31</v>
      </c>
      <c r="B37" s="18" t="n">
        <v>1</v>
      </c>
      <c r="C37" s="19" t="n">
        <f aca="false">COUNTIFS('190-Unit Detail'!B4:B193,"Block 3",'190-Unit Detail'!C4:C193,1)</f>
        <v>13</v>
      </c>
      <c r="D37" s="20" t="n">
        <f aca="false">SUMIFS('190-Unit Detail'!F4:F193,'190-Unit Detail'!B4:B193,"Block 3",'190-Unit Detail'!C4:C193,1)</f>
        <v>6526</v>
      </c>
      <c r="E37" s="20" t="n">
        <f aca="false">SUMIFS('190-Unit Detail'!G4:G193,'190-Unit Detail'!B4:B193,"Block 3",'190-Unit Detail'!C4:C193,1)</f>
        <v>6014</v>
      </c>
      <c r="F37" s="21" t="n">
        <f aca="false">IF(SUMIFS('190-Unit Detail'!F4:F193,'190-Unit Detail'!B4:B193,"Block 3",'190-Unit Detail'!C4:C193,1)=0,0,SUMIFS('190-Unit Detail'!G4:G193,'190-Unit Detail'!B4:B193,"Block 3",'190-Unit Detail'!C4:C193,1)/SUMIFS('190-Unit Detail'!F4:F193,'190-Unit Detail'!B4:B193,"Block 3",'190-Unit Detail'!C4:C193,1))</f>
        <v>0.9215445908673</v>
      </c>
      <c r="G37" s="20" t="n">
        <f aca="false">SUMIFS('190-Unit Detail'!N4:N193,'190-Unit Detail'!B4:B193,"Block 3",'190-Unit Detail'!C4:C193,1)</f>
        <v>512</v>
      </c>
    </row>
    <row r="38" customFormat="false" ht="15" hidden="false" customHeight="false" outlineLevel="0" collapsed="false">
      <c r="A38" s="18" t="s">
        <v>31</v>
      </c>
      <c r="B38" s="18" t="n">
        <v>2</v>
      </c>
      <c r="C38" s="19" t="n">
        <f aca="false">COUNTIFS('190-Unit Detail'!B4:B193,"Block 3",'190-Unit Detail'!C4:C193,2)</f>
        <v>13</v>
      </c>
      <c r="D38" s="20" t="n">
        <f aca="false">SUMIFS('190-Unit Detail'!F4:F193,'190-Unit Detail'!B4:B193,"Block 3",'190-Unit Detail'!C4:C193,2)</f>
        <v>6526</v>
      </c>
      <c r="E38" s="20" t="n">
        <f aca="false">SUMIFS('190-Unit Detail'!G4:G193,'190-Unit Detail'!B4:B193,"Block 3",'190-Unit Detail'!C4:C193,2)</f>
        <v>5484</v>
      </c>
      <c r="F38" s="21" t="n">
        <f aca="false">IF(SUMIFS('190-Unit Detail'!F4:F193,'190-Unit Detail'!B4:B193,"Block 3",'190-Unit Detail'!C4:C193,2)=0,0,SUMIFS('190-Unit Detail'!G4:G193,'190-Unit Detail'!B4:B193,"Block 3",'190-Unit Detail'!C4:C193,2)/SUMIFS('190-Unit Detail'!F4:F193,'190-Unit Detail'!B4:B193,"Block 3",'190-Unit Detail'!C4:C193,2))</f>
        <v>0.840330983757279</v>
      </c>
      <c r="G38" s="20" t="n">
        <f aca="false">SUMIFS('190-Unit Detail'!N4:N193,'190-Unit Detail'!B4:B193,"Block 3",'190-Unit Detail'!C4:C193,2)</f>
        <v>1042</v>
      </c>
    </row>
    <row r="39" customFormat="false" ht="15" hidden="false" customHeight="false" outlineLevel="0" collapsed="false">
      <c r="A39" s="18" t="s">
        <v>32</v>
      </c>
      <c r="B39" s="18" t="n">
        <v>0</v>
      </c>
      <c r="C39" s="19" t="n">
        <f aca="false">COUNTIFS('190-Unit Detail'!B4:B193,"Block 4",'190-Unit Detail'!C4:C193,0)</f>
        <v>14</v>
      </c>
      <c r="D39" s="20" t="n">
        <f aca="false">SUMIFS('190-Unit Detail'!F4:F193,'190-Unit Detail'!B4:B193,"Block 4",'190-Unit Detail'!C4:C193,0)</f>
        <v>7112</v>
      </c>
      <c r="E39" s="20" t="n">
        <f aca="false">SUMIFS('190-Unit Detail'!G4:G193,'190-Unit Detail'!B4:B193,"Block 4",'190-Unit Detail'!C4:C193,0)</f>
        <v>5996</v>
      </c>
      <c r="F39" s="21" t="n">
        <f aca="false">IF(SUMIFS('190-Unit Detail'!F4:F193,'190-Unit Detail'!B4:B193,"Block 4",'190-Unit Detail'!C4:C193,0)=0,0,SUMIFS('190-Unit Detail'!G4:G193,'190-Unit Detail'!B4:B193,"Block 4",'190-Unit Detail'!C4:C193,0)/SUMIFS('190-Unit Detail'!F4:F193,'190-Unit Detail'!B4:B193,"Block 4",'190-Unit Detail'!C4:C193,0))</f>
        <v>0.843082114735658</v>
      </c>
      <c r="G39" s="20" t="n">
        <f aca="false">SUMIFS('190-Unit Detail'!N4:N193,'190-Unit Detail'!B4:B193,"Block 4",'190-Unit Detail'!C4:C193,0)</f>
        <v>1131</v>
      </c>
    </row>
    <row r="40" customFormat="false" ht="15" hidden="false" customHeight="false" outlineLevel="0" collapsed="false">
      <c r="A40" s="18" t="s">
        <v>32</v>
      </c>
      <c r="B40" s="18" t="n">
        <v>1</v>
      </c>
      <c r="C40" s="19" t="n">
        <f aca="false">COUNTIFS('190-Unit Detail'!B4:B193,"Block 4",'190-Unit Detail'!C4:C193,1)</f>
        <v>14</v>
      </c>
      <c r="D40" s="20" t="n">
        <f aca="false">SUMIFS('190-Unit Detail'!F4:F193,'190-Unit Detail'!B4:B193,"Block 4",'190-Unit Detail'!C4:C193,1)</f>
        <v>7028</v>
      </c>
      <c r="E40" s="20" t="n">
        <f aca="false">SUMIFS('190-Unit Detail'!G4:G193,'190-Unit Detail'!B4:B193,"Block 4",'190-Unit Detail'!C4:C193,1)</f>
        <v>5442</v>
      </c>
      <c r="F40" s="21" t="n">
        <f aca="false">IF(SUMIFS('190-Unit Detail'!F4:F193,'190-Unit Detail'!B4:B193,"Block 4",'190-Unit Detail'!C4:C193,1)=0,0,SUMIFS('190-Unit Detail'!G4:G193,'190-Unit Detail'!B4:B193,"Block 4",'190-Unit Detail'!C4:C193,1)/SUMIFS('190-Unit Detail'!F4:F193,'190-Unit Detail'!B4:B193,"Block 4",'190-Unit Detail'!C4:C193,1))</f>
        <v>0.7743312464428</v>
      </c>
      <c r="G40" s="20" t="n">
        <f aca="false">SUMIFS('190-Unit Detail'!N4:N193,'190-Unit Detail'!B4:B193,"Block 4",'190-Unit Detail'!C4:C193,1)</f>
        <v>1604</v>
      </c>
    </row>
    <row r="41" customFormat="false" ht="15" hidden="false" customHeight="false" outlineLevel="0" collapsed="false">
      <c r="A41" s="18" t="s">
        <v>32</v>
      </c>
      <c r="B41" s="18" t="n">
        <v>2</v>
      </c>
      <c r="C41" s="19" t="n">
        <f aca="false">COUNTIFS('190-Unit Detail'!B4:B193,"Block 4",'190-Unit Detail'!C4:C193,2)</f>
        <v>14</v>
      </c>
      <c r="D41" s="20" t="n">
        <f aca="false">SUMIFS('190-Unit Detail'!F4:F193,'190-Unit Detail'!B4:B193,"Block 4",'190-Unit Detail'!C4:C193,2)</f>
        <v>7028</v>
      </c>
      <c r="E41" s="20" t="n">
        <f aca="false">SUMIFS('190-Unit Detail'!G4:G193,'190-Unit Detail'!B4:B193,"Block 4",'190-Unit Detail'!C4:C193,2)</f>
        <v>6833</v>
      </c>
      <c r="F41" s="21" t="n">
        <f aca="false">IF(SUMIFS('190-Unit Detail'!F4:F193,'190-Unit Detail'!B4:B193,"Block 4",'190-Unit Detail'!C4:C193,2)=0,0,SUMIFS('190-Unit Detail'!G4:G193,'190-Unit Detail'!B4:B193,"Block 4",'190-Unit Detail'!C4:C193,2)/SUMIFS('190-Unit Detail'!F4:F193,'190-Unit Detail'!B4:B193,"Block 4",'190-Unit Detail'!C4:C193,2))</f>
        <v>0.972253841775754</v>
      </c>
      <c r="G41" s="20" t="n">
        <f aca="false">SUMIFS('190-Unit Detail'!N4:N193,'190-Unit Detail'!B4:B193,"Block 4",'190-Unit Detail'!C4:C193,2)</f>
        <v>195</v>
      </c>
    </row>
    <row r="42" customFormat="false" ht="15" hidden="false" customHeight="false" outlineLevel="0" collapsed="false">
      <c r="A42" s="18" t="s">
        <v>33</v>
      </c>
      <c r="B42" s="18" t="n">
        <v>0</v>
      </c>
      <c r="C42" s="19" t="n">
        <f aca="false">COUNTIFS('190-Unit Detail'!B4:B193,"Block 5",'190-Unit Detail'!C4:C193,0)</f>
        <v>14</v>
      </c>
      <c r="D42" s="20" t="n">
        <f aca="false">SUMIFS('190-Unit Detail'!F4:F193,'190-Unit Detail'!B4:B193,"Block 5",'190-Unit Detail'!C4:C193,0)</f>
        <v>7112</v>
      </c>
      <c r="E42" s="20" t="n">
        <f aca="false">SUMIFS('190-Unit Detail'!G4:G193,'190-Unit Detail'!B4:B193,"Block 5",'190-Unit Detail'!C4:C193,0)</f>
        <v>6297</v>
      </c>
      <c r="F42" s="21" t="n">
        <f aca="false">IF(SUMIFS('190-Unit Detail'!F4:F193,'190-Unit Detail'!B4:B193,"Block 5",'190-Unit Detail'!C4:C193,0)=0,0,SUMIFS('190-Unit Detail'!G4:G193,'190-Unit Detail'!B4:B193,"Block 5",'190-Unit Detail'!C4:C193,0)/SUMIFS('190-Unit Detail'!F4:F193,'190-Unit Detail'!B4:B193,"Block 5",'190-Unit Detail'!C4:C193,0))</f>
        <v>0.885404949381327</v>
      </c>
      <c r="G42" s="20" t="n">
        <f aca="false">SUMIFS('190-Unit Detail'!N4:N193,'190-Unit Detail'!B4:B193,"Block 5",'190-Unit Detail'!C4:C193,0)</f>
        <v>815</v>
      </c>
    </row>
    <row r="43" customFormat="false" ht="15" hidden="false" customHeight="false" outlineLevel="0" collapsed="false">
      <c r="A43" s="18" t="s">
        <v>33</v>
      </c>
      <c r="B43" s="18" t="n">
        <v>1</v>
      </c>
      <c r="C43" s="19" t="n">
        <f aca="false">COUNTIFS('190-Unit Detail'!B4:B193,"Block 5",'190-Unit Detail'!C4:C193,1)</f>
        <v>14</v>
      </c>
      <c r="D43" s="20" t="n">
        <f aca="false">SUMIFS('190-Unit Detail'!F4:F193,'190-Unit Detail'!B4:B193,"Block 5",'190-Unit Detail'!C4:C193,1)</f>
        <v>7028</v>
      </c>
      <c r="E43" s="20" t="n">
        <f aca="false">SUMIFS('190-Unit Detail'!G4:G193,'190-Unit Detail'!B4:B193,"Block 5",'190-Unit Detail'!C4:C193,1)</f>
        <v>6438</v>
      </c>
      <c r="F43" s="21" t="n">
        <f aca="false">IF(SUMIFS('190-Unit Detail'!F4:F193,'190-Unit Detail'!B4:B193,"Block 5",'190-Unit Detail'!C4:C193,1)=0,0,SUMIFS('190-Unit Detail'!G4:G193,'190-Unit Detail'!B4:B193,"Block 5",'190-Unit Detail'!C4:C193,1)/SUMIFS('190-Unit Detail'!F4:F193,'190-Unit Detail'!B4:B193,"Block 5",'190-Unit Detail'!C4:C193,1))</f>
        <v>0.916050085372795</v>
      </c>
      <c r="G43" s="20" t="n">
        <f aca="false">SUMIFS('190-Unit Detail'!N4:N193,'190-Unit Detail'!B4:B193,"Block 5",'190-Unit Detail'!C4:C193,1)</f>
        <v>590</v>
      </c>
    </row>
    <row r="44" customFormat="false" ht="15" hidden="false" customHeight="false" outlineLevel="0" collapsed="false">
      <c r="A44" s="18" t="s">
        <v>33</v>
      </c>
      <c r="B44" s="18" t="n">
        <v>2</v>
      </c>
      <c r="C44" s="19" t="n">
        <f aca="false">COUNTIFS('190-Unit Detail'!B4:B193,"Block 5",'190-Unit Detail'!C4:C193,2)</f>
        <v>14</v>
      </c>
      <c r="D44" s="20" t="n">
        <f aca="false">SUMIFS('190-Unit Detail'!F4:F193,'190-Unit Detail'!B4:B193,"Block 5",'190-Unit Detail'!C4:C193,2)</f>
        <v>7028</v>
      </c>
      <c r="E44" s="20" t="n">
        <f aca="false">SUMIFS('190-Unit Detail'!G4:G193,'190-Unit Detail'!B4:B193,"Block 5",'190-Unit Detail'!C4:C193,2)</f>
        <v>6229</v>
      </c>
      <c r="F44" s="21" t="n">
        <f aca="false">IF(SUMIFS('190-Unit Detail'!F4:F193,'190-Unit Detail'!B4:B193,"Block 5",'190-Unit Detail'!C4:C193,2)=0,0,SUMIFS('190-Unit Detail'!G4:G193,'190-Unit Detail'!B4:B193,"Block 5",'190-Unit Detail'!C4:C193,2)/SUMIFS('190-Unit Detail'!F4:F193,'190-Unit Detail'!B4:B193,"Block 5",'190-Unit Detail'!C4:C193,2))</f>
        <v>0.886311895276039</v>
      </c>
      <c r="G44" s="20" t="n">
        <f aca="false">SUMIFS('190-Unit Detail'!N4:N193,'190-Unit Detail'!B4:B193,"Block 5",'190-Unit Detail'!C4:C193,2)</f>
        <v>799</v>
      </c>
    </row>
    <row r="45" customFormat="false" ht="15" hidden="false" customHeight="false" outlineLevel="0" collapsed="false">
      <c r="A45" s="18" t="s">
        <v>34</v>
      </c>
      <c r="B45" s="18" t="n">
        <v>0</v>
      </c>
      <c r="C45" s="19" t="n">
        <f aca="false">COUNTIFS('190-Unit Detail'!B4:B193,"Block 6",'190-Unit Detail'!C4:C193,0)</f>
        <v>12</v>
      </c>
      <c r="D45" s="20" t="n">
        <f aca="false">SUMIFS('190-Unit Detail'!F4:F193,'190-Unit Detail'!B4:B193,"Block 6",'190-Unit Detail'!C4:C193,0)</f>
        <v>6096</v>
      </c>
      <c r="E45" s="20" t="n">
        <f aca="false">SUMIFS('190-Unit Detail'!G4:G193,'190-Unit Detail'!B4:B193,"Block 6",'190-Unit Detail'!C4:C193,0)</f>
        <v>5485</v>
      </c>
      <c r="F45" s="21" t="n">
        <f aca="false">IF(SUMIFS('190-Unit Detail'!F4:F193,'190-Unit Detail'!B4:B193,"Block 6",'190-Unit Detail'!C4:C193,0)=0,0,SUMIFS('190-Unit Detail'!G4:G193,'190-Unit Detail'!B4:B193,"Block 6",'190-Unit Detail'!C4:C193,0)/SUMIFS('190-Unit Detail'!F4:F193,'190-Unit Detail'!B4:B193,"Block 6",'190-Unit Detail'!C4:C193,0))</f>
        <v>0.899770341207349</v>
      </c>
      <c r="G45" s="20" t="n">
        <f aca="false">SUMIFS('190-Unit Detail'!N4:N193,'190-Unit Detail'!B4:B193,"Block 6",'190-Unit Detail'!C4:C193,0)</f>
        <v>611</v>
      </c>
    </row>
    <row r="46" customFormat="false" ht="15" hidden="false" customHeight="false" outlineLevel="0" collapsed="false">
      <c r="A46" s="18" t="s">
        <v>34</v>
      </c>
      <c r="B46" s="18" t="n">
        <v>1</v>
      </c>
      <c r="C46" s="19" t="n">
        <f aca="false">COUNTIFS('190-Unit Detail'!B4:B193,"Block 6",'190-Unit Detail'!C4:C193,1)</f>
        <v>12</v>
      </c>
      <c r="D46" s="20" t="n">
        <f aca="false">SUMIFS('190-Unit Detail'!F4:F193,'190-Unit Detail'!B4:B193,"Block 6",'190-Unit Detail'!C4:C193,1)</f>
        <v>6024</v>
      </c>
      <c r="E46" s="20" t="n">
        <f aca="false">SUMIFS('190-Unit Detail'!G4:G193,'190-Unit Detail'!B4:B193,"Block 6",'190-Unit Detail'!C4:C193,1)</f>
        <v>5523</v>
      </c>
      <c r="F46" s="21" t="n">
        <f aca="false">IF(SUMIFS('190-Unit Detail'!F4:F193,'190-Unit Detail'!B4:B193,"Block 6",'190-Unit Detail'!C4:C193,1)=0,0,SUMIFS('190-Unit Detail'!G4:G193,'190-Unit Detail'!B4:B193,"Block 6",'190-Unit Detail'!C4:C193,1)/SUMIFS('190-Unit Detail'!F4:F193,'190-Unit Detail'!B4:B193,"Block 6",'190-Unit Detail'!C4:C193,1))</f>
        <v>0.916832669322709</v>
      </c>
      <c r="G46" s="20" t="n">
        <f aca="false">SUMIFS('190-Unit Detail'!N4:N193,'190-Unit Detail'!B4:B193,"Block 6",'190-Unit Detail'!C4:C193,1)</f>
        <v>501</v>
      </c>
    </row>
    <row r="47" customFormat="false" ht="15" hidden="false" customHeight="false" outlineLevel="0" collapsed="false">
      <c r="A47" s="18" t="s">
        <v>34</v>
      </c>
      <c r="B47" s="18" t="n">
        <v>2</v>
      </c>
      <c r="C47" s="19" t="n">
        <f aca="false">COUNTIFS('190-Unit Detail'!B4:B193,"Block 6",'190-Unit Detail'!C4:C193,2)</f>
        <v>12</v>
      </c>
      <c r="D47" s="20" t="n">
        <f aca="false">SUMIFS('190-Unit Detail'!F4:F193,'190-Unit Detail'!B4:B193,"Block 6",'190-Unit Detail'!C4:C193,2)</f>
        <v>6024</v>
      </c>
      <c r="E47" s="20" t="n">
        <f aca="false">SUMIFS('190-Unit Detail'!G4:G193,'190-Unit Detail'!B4:B193,"Block 6",'190-Unit Detail'!C4:C193,2)</f>
        <v>4824</v>
      </c>
      <c r="F47" s="21" t="n">
        <f aca="false">IF(SUMIFS('190-Unit Detail'!F4:F193,'190-Unit Detail'!B4:B193,"Block 6",'190-Unit Detail'!C4:C193,2)=0,0,SUMIFS('190-Unit Detail'!G4:G193,'190-Unit Detail'!B4:B193,"Block 6",'190-Unit Detail'!C4:C193,2)/SUMIFS('190-Unit Detail'!F4:F193,'190-Unit Detail'!B4:B193,"Block 6",'190-Unit Detail'!C4:C193,2))</f>
        <v>0.800796812749004</v>
      </c>
      <c r="G47" s="20" t="n">
        <f aca="false">SUMIFS('190-Unit Detail'!N4:N193,'190-Unit Detail'!B4:B193,"Block 6",'190-Unit Detail'!C4:C193,2)</f>
        <v>1226</v>
      </c>
    </row>
    <row r="48" customFormat="false" ht="15" hidden="false" customHeight="false" outlineLevel="0" collapsed="false">
      <c r="A48" s="18" t="s">
        <v>35</v>
      </c>
      <c r="B48" s="18" t="n">
        <v>0</v>
      </c>
      <c r="C48" s="19" t="n">
        <f aca="false">COUNTIFS('190-Unit Detail'!B4:B193,"Block 7",'190-Unit Detail'!C4:C193,0)</f>
        <v>5</v>
      </c>
      <c r="D48" s="20" t="n">
        <f aca="false">SUMIFS('190-Unit Detail'!F4:F193,'190-Unit Detail'!B4:B193,"Block 7",'190-Unit Detail'!C4:C193,0)</f>
        <v>2540</v>
      </c>
      <c r="E48" s="20" t="n">
        <f aca="false">SUMIFS('190-Unit Detail'!G4:G193,'190-Unit Detail'!B4:B193,"Block 7",'190-Unit Detail'!C4:C193,0)</f>
        <v>2281</v>
      </c>
      <c r="F48" s="21" t="n">
        <f aca="false">IF(SUMIFS('190-Unit Detail'!F4:F193,'190-Unit Detail'!B4:B193,"Block 7",'190-Unit Detail'!C4:C193,0)=0,0,SUMIFS('190-Unit Detail'!G4:G193,'190-Unit Detail'!B4:B193,"Block 7",'190-Unit Detail'!C4:C193,0)/SUMIFS('190-Unit Detail'!F4:F193,'190-Unit Detail'!B4:B193,"Block 7",'190-Unit Detail'!C4:C193,0))</f>
        <v>0.898031496062992</v>
      </c>
      <c r="G48" s="20" t="n">
        <f aca="false">SUMIFS('190-Unit Detail'!N4:N193,'190-Unit Detail'!B4:B193,"Block 7",'190-Unit Detail'!C4:C193,0)</f>
        <v>259</v>
      </c>
    </row>
    <row r="49" customFormat="false" ht="15" hidden="false" customHeight="false" outlineLevel="0" collapsed="false">
      <c r="A49" s="18" t="s">
        <v>35</v>
      </c>
      <c r="B49" s="18" t="n">
        <v>1</v>
      </c>
      <c r="C49" s="19" t="n">
        <f aca="false">COUNTIFS('190-Unit Detail'!B4:B193,"Block 7",'190-Unit Detail'!C4:C193,1)</f>
        <v>6</v>
      </c>
      <c r="D49" s="20" t="n">
        <f aca="false">SUMIFS('190-Unit Detail'!F4:F193,'190-Unit Detail'!B4:B193,"Block 7",'190-Unit Detail'!C4:C193,1)</f>
        <v>3012</v>
      </c>
      <c r="E49" s="20" t="n">
        <f aca="false">SUMIFS('190-Unit Detail'!G4:G193,'190-Unit Detail'!B4:B193,"Block 7",'190-Unit Detail'!C4:C193,1)</f>
        <v>2200</v>
      </c>
      <c r="F49" s="21" t="n">
        <f aca="false">IF(SUMIFS('190-Unit Detail'!F4:F193,'190-Unit Detail'!B4:B193,"Block 7",'190-Unit Detail'!C4:C193,1)=0,0,SUMIFS('190-Unit Detail'!G4:G193,'190-Unit Detail'!B4:B193,"Block 7",'190-Unit Detail'!C4:C193,1)/SUMIFS('190-Unit Detail'!F4:F193,'190-Unit Detail'!B4:B193,"Block 7",'190-Unit Detail'!C4:C193,1))</f>
        <v>0.730411686586985</v>
      </c>
      <c r="G49" s="20" t="n">
        <f aca="false">SUMIFS('190-Unit Detail'!N4:N193,'190-Unit Detail'!B4:B193,"Block 7",'190-Unit Detail'!C4:C193,1)</f>
        <v>812</v>
      </c>
    </row>
    <row r="50" customFormat="false" ht="15" hidden="false" customHeight="false" outlineLevel="0" collapsed="false">
      <c r="A50" s="18" t="s">
        <v>35</v>
      </c>
      <c r="B50" s="18" t="n">
        <v>2</v>
      </c>
      <c r="C50" s="19" t="n">
        <f aca="false">COUNTIFS('190-Unit Detail'!B4:B193,"Block 7",'190-Unit Detail'!C4:C193,2)</f>
        <v>6</v>
      </c>
      <c r="D50" s="20" t="n">
        <f aca="false">SUMIFS('190-Unit Detail'!F4:F193,'190-Unit Detail'!B4:B193,"Block 7",'190-Unit Detail'!C4:C193,2)</f>
        <v>3012</v>
      </c>
      <c r="E50" s="20" t="n">
        <f aca="false">SUMIFS('190-Unit Detail'!G4:G193,'190-Unit Detail'!B4:B193,"Block 7",'190-Unit Detail'!C4:C193,2)</f>
        <v>2474</v>
      </c>
      <c r="F50" s="21" t="n">
        <f aca="false">IF(SUMIFS('190-Unit Detail'!F4:F193,'190-Unit Detail'!B4:B193,"Block 7",'190-Unit Detail'!C4:C193,2)=0,0,SUMIFS('190-Unit Detail'!G4:G193,'190-Unit Detail'!B4:B193,"Block 7",'190-Unit Detail'!C4:C193,2)/SUMIFS('190-Unit Detail'!F4:F193,'190-Unit Detail'!B4:B193,"Block 7",'190-Unit Detail'!C4:C193,2))</f>
        <v>0.821381142098274</v>
      </c>
      <c r="G50" s="20" t="n">
        <f aca="false">SUMIFS('190-Unit Detail'!N4:N193,'190-Unit Detail'!B4:B193,"Block 7",'190-Unit Detail'!C4:C193,2)</f>
        <v>541</v>
      </c>
    </row>
    <row r="51" customFormat="false" ht="15" hidden="false" customHeight="false" outlineLevel="0" collapsed="false">
      <c r="A51" s="22" t="s">
        <v>36</v>
      </c>
      <c r="B51" s="22"/>
      <c r="C51" s="23" t="n">
        <f aca="false">SUM(C32:C50)</f>
        <v>190</v>
      </c>
      <c r="D51" s="24" t="n">
        <f aca="false">SUM(D32:D50)</f>
        <v>95716</v>
      </c>
      <c r="E51" s="24" t="n">
        <f aca="false">SUM(E32:E50)</f>
        <v>83046</v>
      </c>
      <c r="F51" s="25" t="n">
        <f aca="false">IF(D51=0,0,E51/D51)</f>
        <v>0.867629236491287</v>
      </c>
      <c r="G51" s="24" t="n">
        <f aca="false">SUM(G32:G50)</f>
        <v>12739</v>
      </c>
    </row>
  </sheetData>
  <mergeCells count="29">
    <mergeCell ref="A1:J1"/>
    <mergeCell ref="A2:J2"/>
    <mergeCell ref="A3:J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D9"/>
    <mergeCell ref="A10:C10"/>
    <mergeCell ref="A11:C11"/>
    <mergeCell ref="A12:C12"/>
    <mergeCell ref="A13:C13"/>
    <mergeCell ref="A14:C14"/>
    <mergeCell ref="A15:C15"/>
    <mergeCell ref="A16:C16"/>
    <mergeCell ref="A17:C17"/>
    <mergeCell ref="A19:G19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06" activePane="bottomLeft" state="frozen"/>
      <selection pane="topLeft" activeCell="A1" activeCellId="0" sqref="A1"/>
      <selection pane="bottomLeft" activeCell="O202" activeCellId="0" sqref="O20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7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16"/>
    <col collapsed="false" customWidth="true" hidden="false" outlineLevel="0" max="15" min="15" style="0" width="20"/>
  </cols>
  <sheetData>
    <row r="1" customFormat="false" ht="25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customFormat="false" ht="45.75" hidden="false" customHeight="true" outlineLevel="0" collapsed="false">
      <c r="A2" s="27" t="s">
        <v>40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customFormat="false" ht="39.75" hidden="false" customHeight="true" outlineLevel="0" collapsed="false">
      <c r="A3" s="28" t="s">
        <v>41</v>
      </c>
      <c r="B3" s="28" t="s">
        <v>23</v>
      </c>
      <c r="C3" s="28" t="s">
        <v>38</v>
      </c>
      <c r="D3" s="28" t="s">
        <v>42</v>
      </c>
      <c r="E3" s="28" t="s">
        <v>43</v>
      </c>
      <c r="F3" s="28" t="s">
        <v>25</v>
      </c>
      <c r="G3" s="28" t="s">
        <v>44</v>
      </c>
      <c r="H3" s="28" t="s">
        <v>45</v>
      </c>
      <c r="I3" s="28" t="s">
        <v>46</v>
      </c>
      <c r="J3" s="28" t="s">
        <v>47</v>
      </c>
      <c r="K3" s="28" t="s">
        <v>48</v>
      </c>
      <c r="L3" s="28" t="s">
        <v>49</v>
      </c>
      <c r="M3" s="28" t="s">
        <v>50</v>
      </c>
      <c r="N3" s="29" t="s">
        <v>6</v>
      </c>
      <c r="O3" s="28" t="s">
        <v>51</v>
      </c>
    </row>
    <row r="4" customFormat="false" ht="15" hidden="false" customHeight="true" outlineLevel="0" collapsed="false">
      <c r="A4" s="30" t="s">
        <v>52</v>
      </c>
      <c r="B4" s="30" t="s">
        <v>29</v>
      </c>
      <c r="C4" s="18" t="n">
        <v>1</v>
      </c>
      <c r="D4" s="18" t="s">
        <v>53</v>
      </c>
      <c r="E4" s="18" t="s">
        <v>54</v>
      </c>
      <c r="F4" s="31" t="n">
        <v>502</v>
      </c>
      <c r="G4" s="31" t="n">
        <v>479</v>
      </c>
      <c r="H4" s="18" t="n">
        <v>15</v>
      </c>
      <c r="I4" s="32" t="n">
        <v>8</v>
      </c>
      <c r="J4" s="32" t="n">
        <v>0</v>
      </c>
      <c r="K4" s="32" t="n">
        <v>0</v>
      </c>
      <c r="L4" s="31" t="n">
        <f aca="false">H4+I4+J4+K4</f>
        <v>23</v>
      </c>
      <c r="M4" s="32" t="n">
        <v>0</v>
      </c>
      <c r="N4" s="33" t="n">
        <f aca="false">L4+M4</f>
        <v>23</v>
      </c>
      <c r="O4" s="34" t="n">
        <v>22</v>
      </c>
    </row>
    <row r="5" customFormat="false" ht="15" hidden="false" customHeight="true" outlineLevel="0" collapsed="false">
      <c r="A5" s="30" t="s">
        <v>55</v>
      </c>
      <c r="B5" s="30" t="s">
        <v>29</v>
      </c>
      <c r="C5" s="18" t="n">
        <v>1</v>
      </c>
      <c r="D5" s="18" t="s">
        <v>53</v>
      </c>
      <c r="E5" s="18" t="s">
        <v>54</v>
      </c>
      <c r="F5" s="31" t="n">
        <v>502</v>
      </c>
      <c r="G5" s="31" t="n">
        <v>475</v>
      </c>
      <c r="H5" s="18" t="n">
        <v>23</v>
      </c>
      <c r="I5" s="32" t="n">
        <v>4</v>
      </c>
      <c r="J5" s="32" t="n">
        <v>0</v>
      </c>
      <c r="K5" s="32" t="n">
        <v>0</v>
      </c>
      <c r="L5" s="31" t="n">
        <f aca="false">H5+I5+J5+K5</f>
        <v>27</v>
      </c>
      <c r="M5" s="32" t="n">
        <v>0</v>
      </c>
      <c r="N5" s="33" t="n">
        <f aca="false">L5+M5</f>
        <v>27</v>
      </c>
      <c r="O5" s="34" t="n">
        <v>28</v>
      </c>
    </row>
    <row r="6" customFormat="false" ht="15" hidden="false" customHeight="true" outlineLevel="0" collapsed="false">
      <c r="A6" s="30" t="s">
        <v>56</v>
      </c>
      <c r="B6" s="30" t="s">
        <v>29</v>
      </c>
      <c r="C6" s="18" t="n">
        <v>2</v>
      </c>
      <c r="D6" s="18" t="s">
        <v>57</v>
      </c>
      <c r="E6" s="18" t="s">
        <v>58</v>
      </c>
      <c r="F6" s="31" t="n">
        <v>502</v>
      </c>
      <c r="G6" s="31" t="n">
        <v>308</v>
      </c>
      <c r="H6" s="18" t="n">
        <v>0</v>
      </c>
      <c r="I6" s="32" t="n">
        <v>134</v>
      </c>
      <c r="J6" s="32" t="n">
        <v>6</v>
      </c>
      <c r="K6" s="32" t="n">
        <v>54</v>
      </c>
      <c r="L6" s="31" t="n">
        <f aca="false">H6+I6+J6+K6</f>
        <v>194</v>
      </c>
      <c r="M6" s="32" t="n">
        <v>0</v>
      </c>
      <c r="N6" s="33" t="n">
        <f aca="false">L6+M6</f>
        <v>194</v>
      </c>
      <c r="O6" s="34" t="n">
        <v>185</v>
      </c>
    </row>
    <row r="7" customFormat="false" ht="15" hidden="false" customHeight="true" outlineLevel="0" collapsed="false">
      <c r="A7" s="30" t="s">
        <v>59</v>
      </c>
      <c r="B7" s="30" t="s">
        <v>29</v>
      </c>
      <c r="C7" s="18" t="n">
        <v>2</v>
      </c>
      <c r="D7" s="18" t="s">
        <v>57</v>
      </c>
      <c r="E7" s="18" t="s">
        <v>58</v>
      </c>
      <c r="F7" s="31" t="n">
        <v>502</v>
      </c>
      <c r="G7" s="31" t="n">
        <v>362</v>
      </c>
      <c r="H7" s="18" t="n">
        <v>0</v>
      </c>
      <c r="I7" s="32" t="n">
        <v>86</v>
      </c>
      <c r="J7" s="32" t="n">
        <v>0</v>
      </c>
      <c r="K7" s="32" t="n">
        <v>54</v>
      </c>
      <c r="L7" s="31" t="n">
        <f aca="false">H7+I7+J7+K7</f>
        <v>140</v>
      </c>
      <c r="M7" s="32" t="n">
        <v>0</v>
      </c>
      <c r="N7" s="33" t="n">
        <f aca="false">L7+M7</f>
        <v>140</v>
      </c>
      <c r="O7" s="34" t="n">
        <v>112</v>
      </c>
    </row>
    <row r="8" customFormat="false" ht="15" hidden="false" customHeight="true" outlineLevel="0" collapsed="false">
      <c r="A8" s="30" t="s">
        <v>60</v>
      </c>
      <c r="B8" s="30" t="s">
        <v>29</v>
      </c>
      <c r="C8" s="18" t="n">
        <v>2</v>
      </c>
      <c r="D8" s="18" t="s">
        <v>53</v>
      </c>
      <c r="E8" s="18" t="s">
        <v>58</v>
      </c>
      <c r="F8" s="31" t="n">
        <v>502</v>
      </c>
      <c r="G8" s="31" t="n">
        <v>502</v>
      </c>
      <c r="H8" s="18" t="n">
        <v>0</v>
      </c>
      <c r="I8" s="32" t="n">
        <v>0</v>
      </c>
      <c r="J8" s="32" t="n">
        <v>0</v>
      </c>
      <c r="K8" s="32" t="n">
        <v>0</v>
      </c>
      <c r="L8" s="31" t="n">
        <f aca="false">H8+I8+J8+K8</f>
        <v>0</v>
      </c>
      <c r="M8" s="32" t="n">
        <v>0</v>
      </c>
      <c r="N8" s="33" t="n">
        <f aca="false">L8+M8</f>
        <v>0</v>
      </c>
      <c r="O8" s="34" t="n">
        <v>0</v>
      </c>
    </row>
    <row r="9" customFormat="false" ht="15" hidden="false" customHeight="true" outlineLevel="0" collapsed="false">
      <c r="A9" s="30" t="s">
        <v>61</v>
      </c>
      <c r="B9" s="30" t="s">
        <v>29</v>
      </c>
      <c r="C9" s="18" t="n">
        <v>2</v>
      </c>
      <c r="D9" s="18" t="s">
        <v>53</v>
      </c>
      <c r="E9" s="18" t="s">
        <v>58</v>
      </c>
      <c r="F9" s="31" t="n">
        <v>502</v>
      </c>
      <c r="G9" s="31" t="n">
        <v>356</v>
      </c>
      <c r="H9" s="18" t="n">
        <v>92</v>
      </c>
      <c r="I9" s="32" t="n">
        <v>0</v>
      </c>
      <c r="J9" s="32" t="n">
        <v>0</v>
      </c>
      <c r="K9" s="32" t="n">
        <v>54</v>
      </c>
      <c r="L9" s="31" t="n">
        <f aca="false">H9+I9+J9+K9</f>
        <v>146</v>
      </c>
      <c r="M9" s="32" t="n">
        <v>1</v>
      </c>
      <c r="N9" s="33" t="n">
        <f aca="false">L9+M9</f>
        <v>147</v>
      </c>
      <c r="O9" s="34" t="n">
        <v>1</v>
      </c>
    </row>
    <row r="10" customFormat="false" ht="15" hidden="false" customHeight="true" outlineLevel="0" collapsed="false">
      <c r="A10" s="30" t="s">
        <v>62</v>
      </c>
      <c r="B10" s="30" t="s">
        <v>29</v>
      </c>
      <c r="C10" s="18" t="n">
        <v>2</v>
      </c>
      <c r="D10" s="18" t="s">
        <v>63</v>
      </c>
      <c r="E10" s="18" t="s">
        <v>64</v>
      </c>
      <c r="F10" s="31" t="n">
        <v>502</v>
      </c>
      <c r="G10" s="31" t="n">
        <v>478</v>
      </c>
      <c r="H10" s="18" t="n">
        <v>0</v>
      </c>
      <c r="I10" s="32" t="n">
        <v>24</v>
      </c>
      <c r="J10" s="32" t="n">
        <v>0</v>
      </c>
      <c r="K10" s="32" t="n">
        <v>0</v>
      </c>
      <c r="L10" s="31" t="n">
        <f aca="false">H10+I10+J10+K10</f>
        <v>24</v>
      </c>
      <c r="M10" s="32" t="n">
        <v>0</v>
      </c>
      <c r="N10" s="33" t="n">
        <f aca="false">L10+M10</f>
        <v>24</v>
      </c>
      <c r="O10" s="34" t="n">
        <v>0</v>
      </c>
    </row>
    <row r="11" customFormat="false" ht="15" hidden="false" customHeight="true" outlineLevel="0" collapsed="false">
      <c r="A11" s="30" t="s">
        <v>65</v>
      </c>
      <c r="B11" s="30" t="s">
        <v>29</v>
      </c>
      <c r="C11" s="18" t="n">
        <v>2</v>
      </c>
      <c r="D11" s="18" t="s">
        <v>53</v>
      </c>
      <c r="E11" s="18" t="s">
        <v>58</v>
      </c>
      <c r="F11" s="31" t="n">
        <v>502</v>
      </c>
      <c r="G11" s="31" t="n">
        <v>497</v>
      </c>
      <c r="H11" s="18" t="n">
        <v>0</v>
      </c>
      <c r="I11" s="32" t="n">
        <v>5</v>
      </c>
      <c r="J11" s="32" t="n">
        <v>0</v>
      </c>
      <c r="K11" s="32" t="n">
        <v>0</v>
      </c>
      <c r="L11" s="31" t="n">
        <f aca="false">H11+I11+J11+K11</f>
        <v>5</v>
      </c>
      <c r="M11" s="32" t="n">
        <v>0</v>
      </c>
      <c r="N11" s="33" t="n">
        <f aca="false">L11+M11</f>
        <v>5</v>
      </c>
      <c r="O11" s="34" t="n">
        <v>1</v>
      </c>
    </row>
    <row r="12" customFormat="false" ht="15" hidden="false" customHeight="true" outlineLevel="0" collapsed="false">
      <c r="A12" s="30" t="s">
        <v>66</v>
      </c>
      <c r="B12" s="30" t="s">
        <v>30</v>
      </c>
      <c r="C12" s="18" t="n">
        <v>1</v>
      </c>
      <c r="D12" s="18" t="s">
        <v>53</v>
      </c>
      <c r="E12" s="18" t="s">
        <v>58</v>
      </c>
      <c r="F12" s="31" t="n">
        <v>502</v>
      </c>
      <c r="G12" s="31" t="n">
        <v>367</v>
      </c>
      <c r="H12" s="18" t="n">
        <v>127</v>
      </c>
      <c r="I12" s="32" t="n">
        <v>8</v>
      </c>
      <c r="J12" s="32" t="n">
        <v>0</v>
      </c>
      <c r="K12" s="32" t="n">
        <v>0</v>
      </c>
      <c r="L12" s="31" t="n">
        <f aca="false">H12+I12+J12+K12</f>
        <v>135</v>
      </c>
      <c r="M12" s="32" t="n">
        <v>0</v>
      </c>
      <c r="N12" s="33" t="n">
        <f aca="false">L12+M12</f>
        <v>135</v>
      </c>
      <c r="O12" s="34" t="n">
        <v>43</v>
      </c>
    </row>
    <row r="13" customFormat="false" ht="15" hidden="false" customHeight="true" outlineLevel="0" collapsed="false">
      <c r="A13" s="30" t="s">
        <v>67</v>
      </c>
      <c r="B13" s="30" t="s">
        <v>30</v>
      </c>
      <c r="C13" s="18" t="n">
        <v>1</v>
      </c>
      <c r="D13" s="18" t="s">
        <v>53</v>
      </c>
      <c r="E13" s="18" t="s">
        <v>58</v>
      </c>
      <c r="F13" s="31" t="n">
        <v>502</v>
      </c>
      <c r="G13" s="31" t="n">
        <v>377</v>
      </c>
      <c r="H13" s="18" t="n">
        <v>118</v>
      </c>
      <c r="I13" s="32" t="n">
        <v>7</v>
      </c>
      <c r="J13" s="32" t="n">
        <v>0</v>
      </c>
      <c r="K13" s="32" t="n">
        <v>0</v>
      </c>
      <c r="L13" s="31" t="n">
        <f aca="false">H13+I13+J13+K13</f>
        <v>125</v>
      </c>
      <c r="M13" s="32" t="n">
        <v>0</v>
      </c>
      <c r="N13" s="33" t="n">
        <f aca="false">L13+M13</f>
        <v>125</v>
      </c>
      <c r="O13" s="34" t="n">
        <v>15</v>
      </c>
    </row>
    <row r="14" customFormat="false" ht="15" hidden="false" customHeight="true" outlineLevel="0" collapsed="false">
      <c r="A14" s="30" t="s">
        <v>68</v>
      </c>
      <c r="B14" s="30" t="s">
        <v>30</v>
      </c>
      <c r="C14" s="18" t="n">
        <v>1</v>
      </c>
      <c r="D14" s="18" t="s">
        <v>53</v>
      </c>
      <c r="E14" s="18" t="s">
        <v>58</v>
      </c>
      <c r="F14" s="31" t="n">
        <v>502</v>
      </c>
      <c r="G14" s="31" t="n">
        <v>401</v>
      </c>
      <c r="H14" s="18" t="n">
        <v>99</v>
      </c>
      <c r="I14" s="32" t="n">
        <v>2</v>
      </c>
      <c r="J14" s="32" t="n">
        <v>0</v>
      </c>
      <c r="K14" s="32" t="n">
        <v>0</v>
      </c>
      <c r="L14" s="31" t="n">
        <f aca="false">H14+I14+J14+K14</f>
        <v>101</v>
      </c>
      <c r="M14" s="32" t="n">
        <v>0</v>
      </c>
      <c r="N14" s="33" t="n">
        <f aca="false">L14+M14</f>
        <v>101</v>
      </c>
      <c r="O14" s="34" t="n">
        <v>1</v>
      </c>
    </row>
    <row r="15" customFormat="false" ht="15" hidden="false" customHeight="true" outlineLevel="0" collapsed="false">
      <c r="A15" s="30" t="s">
        <v>69</v>
      </c>
      <c r="B15" s="30" t="s">
        <v>30</v>
      </c>
      <c r="C15" s="18" t="n">
        <v>1</v>
      </c>
      <c r="D15" s="18" t="s">
        <v>53</v>
      </c>
      <c r="E15" s="18" t="s">
        <v>58</v>
      </c>
      <c r="F15" s="31" t="n">
        <v>502</v>
      </c>
      <c r="G15" s="31" t="n">
        <v>379</v>
      </c>
      <c r="H15" s="18" t="n">
        <v>116</v>
      </c>
      <c r="I15" s="32" t="n">
        <v>7</v>
      </c>
      <c r="J15" s="32" t="n">
        <v>0</v>
      </c>
      <c r="K15" s="32" t="n">
        <v>0</v>
      </c>
      <c r="L15" s="31" t="n">
        <f aca="false">H15+I15+J15+K15</f>
        <v>123</v>
      </c>
      <c r="M15" s="32" t="n">
        <v>0</v>
      </c>
      <c r="N15" s="33" t="n">
        <f aca="false">L15+M15</f>
        <v>123</v>
      </c>
      <c r="O15" s="34" t="n">
        <v>7</v>
      </c>
    </row>
    <row r="16" customFormat="false" ht="15" hidden="false" customHeight="true" outlineLevel="0" collapsed="false">
      <c r="A16" s="30" t="s">
        <v>70</v>
      </c>
      <c r="B16" s="30" t="s">
        <v>30</v>
      </c>
      <c r="C16" s="18" t="n">
        <v>2</v>
      </c>
      <c r="D16" s="18" t="s">
        <v>53</v>
      </c>
      <c r="E16" s="18" t="s">
        <v>58</v>
      </c>
      <c r="F16" s="31" t="n">
        <v>502</v>
      </c>
      <c r="G16" s="31" t="n">
        <v>402</v>
      </c>
      <c r="H16" s="18" t="n">
        <v>98</v>
      </c>
      <c r="I16" s="32" t="n">
        <v>2</v>
      </c>
      <c r="J16" s="32" t="n">
        <v>0</v>
      </c>
      <c r="K16" s="32" t="n">
        <v>0</v>
      </c>
      <c r="L16" s="31" t="n">
        <f aca="false">H16+I16+J16+K16</f>
        <v>100</v>
      </c>
      <c r="M16" s="32" t="n">
        <v>0</v>
      </c>
      <c r="N16" s="33" t="n">
        <f aca="false">L16+M16</f>
        <v>100</v>
      </c>
      <c r="O16" s="34" t="n">
        <v>2</v>
      </c>
    </row>
    <row r="17" customFormat="false" ht="15" hidden="false" customHeight="true" outlineLevel="0" collapsed="false">
      <c r="A17" s="30" t="s">
        <v>71</v>
      </c>
      <c r="B17" s="30" t="s">
        <v>30</v>
      </c>
      <c r="C17" s="18" t="n">
        <v>2</v>
      </c>
      <c r="D17" s="18" t="s">
        <v>53</v>
      </c>
      <c r="E17" s="18" t="s">
        <v>58</v>
      </c>
      <c r="F17" s="31" t="n">
        <v>502</v>
      </c>
      <c r="G17" s="31" t="n">
        <v>425</v>
      </c>
      <c r="H17" s="18" t="n">
        <v>75</v>
      </c>
      <c r="I17" s="32" t="n">
        <v>2</v>
      </c>
      <c r="J17" s="32" t="n">
        <v>0</v>
      </c>
      <c r="K17" s="32" t="n">
        <v>0</v>
      </c>
      <c r="L17" s="31" t="n">
        <f aca="false">H17+I17+J17+K17</f>
        <v>77</v>
      </c>
      <c r="M17" s="32" t="n">
        <v>0</v>
      </c>
      <c r="N17" s="33" t="n">
        <f aca="false">L17+M17</f>
        <v>77</v>
      </c>
      <c r="O17" s="34" t="n">
        <v>2</v>
      </c>
    </row>
    <row r="18" customFormat="false" ht="15" hidden="false" customHeight="true" outlineLevel="0" collapsed="false">
      <c r="A18" s="30" t="s">
        <v>72</v>
      </c>
      <c r="B18" s="30" t="s">
        <v>30</v>
      </c>
      <c r="C18" s="18" t="n">
        <v>2</v>
      </c>
      <c r="D18" s="18" t="s">
        <v>53</v>
      </c>
      <c r="E18" s="18" t="s">
        <v>58</v>
      </c>
      <c r="F18" s="31" t="n">
        <v>502</v>
      </c>
      <c r="G18" s="31" t="n">
        <v>373</v>
      </c>
      <c r="H18" s="18" t="n">
        <v>127</v>
      </c>
      <c r="I18" s="32" t="n">
        <v>2</v>
      </c>
      <c r="J18" s="32" t="n">
        <v>0</v>
      </c>
      <c r="K18" s="32" t="n">
        <v>0</v>
      </c>
      <c r="L18" s="31" t="n">
        <f aca="false">H18+I18+J18+K18</f>
        <v>129</v>
      </c>
      <c r="M18" s="32" t="n">
        <v>0</v>
      </c>
      <c r="N18" s="33" t="n">
        <f aca="false">L18+M18</f>
        <v>129</v>
      </c>
      <c r="O18" s="34" t="n">
        <v>1</v>
      </c>
    </row>
    <row r="19" customFormat="false" ht="15" hidden="false" customHeight="true" outlineLevel="0" collapsed="false">
      <c r="A19" s="30" t="s">
        <v>73</v>
      </c>
      <c r="B19" s="30" t="s">
        <v>30</v>
      </c>
      <c r="C19" s="18" t="n">
        <v>2</v>
      </c>
      <c r="D19" s="18" t="s">
        <v>53</v>
      </c>
      <c r="E19" s="18" t="s">
        <v>58</v>
      </c>
      <c r="F19" s="31" t="n">
        <v>502</v>
      </c>
      <c r="G19" s="31" t="n">
        <v>493</v>
      </c>
      <c r="H19" s="18" t="n">
        <v>0</v>
      </c>
      <c r="I19" s="32" t="n">
        <v>9</v>
      </c>
      <c r="J19" s="32" t="n">
        <v>0</v>
      </c>
      <c r="K19" s="32" t="n">
        <v>0</v>
      </c>
      <c r="L19" s="31" t="n">
        <f aca="false">H19+I19+J19+K19</f>
        <v>9</v>
      </c>
      <c r="M19" s="32" t="n">
        <v>0</v>
      </c>
      <c r="N19" s="33" t="n">
        <f aca="false">L19+M19</f>
        <v>9</v>
      </c>
      <c r="O19" s="34" t="n">
        <v>4</v>
      </c>
    </row>
    <row r="20" customFormat="false" ht="15" hidden="false" customHeight="true" outlineLevel="0" collapsed="false">
      <c r="A20" s="30" t="s">
        <v>74</v>
      </c>
      <c r="B20" s="30" t="s">
        <v>31</v>
      </c>
      <c r="C20" s="18" t="n">
        <v>0</v>
      </c>
      <c r="D20" s="18" t="s">
        <v>53</v>
      </c>
      <c r="E20" s="18" t="s">
        <v>58</v>
      </c>
      <c r="F20" s="31" t="n">
        <v>508</v>
      </c>
      <c r="G20" s="31" t="n">
        <v>464</v>
      </c>
      <c r="H20" s="18" t="n">
        <v>44</v>
      </c>
      <c r="I20" s="32" t="n">
        <v>0</v>
      </c>
      <c r="J20" s="32" t="n">
        <v>0</v>
      </c>
      <c r="K20" s="32" t="n">
        <v>0</v>
      </c>
      <c r="L20" s="31" t="n">
        <f aca="false">H20+I20+J20+K20</f>
        <v>44</v>
      </c>
      <c r="M20" s="32" t="n">
        <v>0</v>
      </c>
      <c r="N20" s="33" t="n">
        <f aca="false">L20+M20</f>
        <v>44</v>
      </c>
      <c r="O20" s="34" t="n">
        <v>2</v>
      </c>
    </row>
    <row r="21" customFormat="false" ht="15" hidden="false" customHeight="true" outlineLevel="0" collapsed="false">
      <c r="A21" s="30" t="s">
        <v>75</v>
      </c>
      <c r="B21" s="30" t="s">
        <v>31</v>
      </c>
      <c r="C21" s="18" t="n">
        <v>0</v>
      </c>
      <c r="D21" s="18" t="s">
        <v>53</v>
      </c>
      <c r="E21" s="18" t="s">
        <v>58</v>
      </c>
      <c r="F21" s="31" t="n">
        <v>508</v>
      </c>
      <c r="G21" s="31" t="n">
        <v>402</v>
      </c>
      <c r="H21" s="18" t="n">
        <v>106</v>
      </c>
      <c r="I21" s="32" t="n">
        <v>0</v>
      </c>
      <c r="J21" s="32" t="n">
        <v>0</v>
      </c>
      <c r="K21" s="32" t="n">
        <v>0</v>
      </c>
      <c r="L21" s="31" t="n">
        <f aca="false">H21+I21+J21+K21</f>
        <v>106</v>
      </c>
      <c r="M21" s="32" t="n">
        <v>0</v>
      </c>
      <c r="N21" s="33" t="n">
        <f aca="false">L21+M21</f>
        <v>106</v>
      </c>
      <c r="O21" s="34" t="n">
        <v>2</v>
      </c>
    </row>
    <row r="22" customFormat="false" ht="15" hidden="false" customHeight="true" outlineLevel="0" collapsed="false">
      <c r="A22" s="30" t="s">
        <v>76</v>
      </c>
      <c r="B22" s="30" t="s">
        <v>31</v>
      </c>
      <c r="C22" s="18" t="n">
        <v>0</v>
      </c>
      <c r="D22" s="18" t="s">
        <v>53</v>
      </c>
      <c r="E22" s="18" t="s">
        <v>58</v>
      </c>
      <c r="F22" s="31" t="n">
        <v>508</v>
      </c>
      <c r="G22" s="31" t="n">
        <v>467</v>
      </c>
      <c r="H22" s="18" t="n">
        <v>38</v>
      </c>
      <c r="I22" s="32" t="n">
        <v>3</v>
      </c>
      <c r="J22" s="32" t="n">
        <v>0</v>
      </c>
      <c r="K22" s="32" t="n">
        <v>0</v>
      </c>
      <c r="L22" s="31" t="n">
        <f aca="false">H22+I22+J22+K22</f>
        <v>41</v>
      </c>
      <c r="M22" s="32" t="n">
        <v>0</v>
      </c>
      <c r="N22" s="33" t="n">
        <f aca="false">L22+M22</f>
        <v>41</v>
      </c>
      <c r="O22" s="34" t="n">
        <v>1</v>
      </c>
    </row>
    <row r="23" customFormat="false" ht="15" hidden="false" customHeight="true" outlineLevel="0" collapsed="false">
      <c r="A23" s="30" t="s">
        <v>77</v>
      </c>
      <c r="B23" s="30" t="s">
        <v>31</v>
      </c>
      <c r="C23" s="18" t="n">
        <v>0</v>
      </c>
      <c r="D23" s="18" t="s">
        <v>53</v>
      </c>
      <c r="E23" s="18" t="s">
        <v>58</v>
      </c>
      <c r="F23" s="31" t="n">
        <v>508</v>
      </c>
      <c r="G23" s="31" t="n">
        <v>404</v>
      </c>
      <c r="H23" s="18" t="n">
        <v>100</v>
      </c>
      <c r="I23" s="32" t="n">
        <v>4</v>
      </c>
      <c r="J23" s="32" t="n">
        <v>0</v>
      </c>
      <c r="K23" s="32" t="n">
        <v>0</v>
      </c>
      <c r="L23" s="31" t="n">
        <f aca="false">H23+I23+J23+K23</f>
        <v>104</v>
      </c>
      <c r="M23" s="32" t="n">
        <v>0</v>
      </c>
      <c r="N23" s="33" t="n">
        <f aca="false">L23+M23</f>
        <v>104</v>
      </c>
      <c r="O23" s="34" t="n">
        <v>4</v>
      </c>
    </row>
    <row r="24" customFormat="false" ht="15" hidden="false" customHeight="true" outlineLevel="0" collapsed="false">
      <c r="A24" s="30" t="s">
        <v>78</v>
      </c>
      <c r="B24" s="30" t="s">
        <v>31</v>
      </c>
      <c r="C24" s="18" t="n">
        <v>0</v>
      </c>
      <c r="D24" s="18" t="s">
        <v>53</v>
      </c>
      <c r="E24" s="18" t="s">
        <v>58</v>
      </c>
      <c r="F24" s="31" t="n">
        <v>508</v>
      </c>
      <c r="G24" s="31" t="n">
        <v>382</v>
      </c>
      <c r="H24" s="18" t="n">
        <v>123</v>
      </c>
      <c r="I24" s="32" t="n">
        <v>3</v>
      </c>
      <c r="J24" s="32" t="n">
        <v>0</v>
      </c>
      <c r="K24" s="32" t="n">
        <v>0</v>
      </c>
      <c r="L24" s="31" t="n">
        <f aca="false">H24+I24+J24+K24</f>
        <v>126</v>
      </c>
      <c r="M24" s="32" t="n">
        <v>0</v>
      </c>
      <c r="N24" s="33" t="n">
        <f aca="false">L24+M24</f>
        <v>126</v>
      </c>
      <c r="O24" s="34" t="n">
        <v>5</v>
      </c>
    </row>
    <row r="25" customFormat="false" ht="15" hidden="false" customHeight="true" outlineLevel="0" collapsed="false">
      <c r="A25" s="30" t="s">
        <v>79</v>
      </c>
      <c r="B25" s="30" t="s">
        <v>31</v>
      </c>
      <c r="C25" s="18" t="n">
        <v>0</v>
      </c>
      <c r="D25" s="18" t="s">
        <v>53</v>
      </c>
      <c r="E25" s="18" t="s">
        <v>58</v>
      </c>
      <c r="F25" s="31" t="n">
        <v>508</v>
      </c>
      <c r="G25" s="31" t="n">
        <v>468</v>
      </c>
      <c r="H25" s="18" t="n">
        <v>38</v>
      </c>
      <c r="I25" s="32" t="n">
        <v>2</v>
      </c>
      <c r="J25" s="32" t="n">
        <v>0</v>
      </c>
      <c r="K25" s="32" t="n">
        <v>0</v>
      </c>
      <c r="L25" s="31" t="n">
        <f aca="false">H25+I25+J25+K25</f>
        <v>40</v>
      </c>
      <c r="M25" s="32" t="n">
        <v>0</v>
      </c>
      <c r="N25" s="33" t="n">
        <f aca="false">L25+M25</f>
        <v>40</v>
      </c>
      <c r="O25" s="34" t="n">
        <v>3</v>
      </c>
    </row>
    <row r="26" customFormat="false" ht="15" hidden="false" customHeight="true" outlineLevel="0" collapsed="false">
      <c r="A26" s="30" t="s">
        <v>80</v>
      </c>
      <c r="B26" s="30" t="s">
        <v>31</v>
      </c>
      <c r="C26" s="18" t="n">
        <v>0</v>
      </c>
      <c r="D26" s="18" t="s">
        <v>53</v>
      </c>
      <c r="E26" s="18" t="s">
        <v>58</v>
      </c>
      <c r="F26" s="31" t="n">
        <v>508</v>
      </c>
      <c r="G26" s="31" t="n">
        <v>398</v>
      </c>
      <c r="H26" s="18" t="n">
        <v>98</v>
      </c>
      <c r="I26" s="32" t="n">
        <v>12</v>
      </c>
      <c r="J26" s="32" t="n">
        <v>0</v>
      </c>
      <c r="K26" s="32" t="n">
        <v>0</v>
      </c>
      <c r="L26" s="31" t="n">
        <f aca="false">H26+I26+J26+K26</f>
        <v>110</v>
      </c>
      <c r="M26" s="32" t="n">
        <v>4</v>
      </c>
      <c r="N26" s="33" t="n">
        <f aca="false">L26+M26</f>
        <v>114</v>
      </c>
      <c r="O26" s="34" t="n">
        <v>31</v>
      </c>
    </row>
    <row r="27" customFormat="false" ht="15" hidden="false" customHeight="true" outlineLevel="0" collapsed="false">
      <c r="A27" s="30" t="s">
        <v>81</v>
      </c>
      <c r="B27" s="30" t="s">
        <v>31</v>
      </c>
      <c r="C27" s="18" t="n">
        <v>0</v>
      </c>
      <c r="D27" s="18" t="s">
        <v>53</v>
      </c>
      <c r="E27" s="18" t="s">
        <v>58</v>
      </c>
      <c r="F27" s="31" t="n">
        <v>508</v>
      </c>
      <c r="G27" s="31" t="n">
        <v>469</v>
      </c>
      <c r="H27" s="18" t="n">
        <v>26</v>
      </c>
      <c r="I27" s="32" t="n">
        <v>13</v>
      </c>
      <c r="J27" s="32" t="n">
        <v>0</v>
      </c>
      <c r="K27" s="32" t="n">
        <v>0</v>
      </c>
      <c r="L27" s="31" t="n">
        <f aca="false">H27+I27+J27+K27</f>
        <v>39</v>
      </c>
      <c r="M27" s="32" t="n">
        <v>0</v>
      </c>
      <c r="N27" s="33" t="n">
        <f aca="false">L27+M27</f>
        <v>39</v>
      </c>
      <c r="O27" s="34" t="n">
        <v>16</v>
      </c>
    </row>
    <row r="28" customFormat="false" ht="15" hidden="false" customHeight="true" outlineLevel="0" collapsed="false">
      <c r="A28" s="30" t="s">
        <v>82</v>
      </c>
      <c r="B28" s="30" t="s">
        <v>31</v>
      </c>
      <c r="C28" s="18" t="n">
        <v>0</v>
      </c>
      <c r="D28" s="18" t="s">
        <v>53</v>
      </c>
      <c r="E28" s="18" t="s">
        <v>58</v>
      </c>
      <c r="F28" s="31" t="n">
        <v>508</v>
      </c>
      <c r="G28" s="31" t="n">
        <v>455</v>
      </c>
      <c r="H28" s="18" t="n">
        <v>42</v>
      </c>
      <c r="I28" s="32" t="n">
        <v>11</v>
      </c>
      <c r="J28" s="32" t="n">
        <v>0</v>
      </c>
      <c r="K28" s="32" t="n">
        <v>0</v>
      </c>
      <c r="L28" s="31" t="n">
        <f aca="false">H28+I28+J28+K28</f>
        <v>53</v>
      </c>
      <c r="M28" s="32" t="n">
        <v>0</v>
      </c>
      <c r="N28" s="33" t="n">
        <f aca="false">L28+M28</f>
        <v>53</v>
      </c>
      <c r="O28" s="34" t="n">
        <v>20</v>
      </c>
    </row>
    <row r="29" customFormat="false" ht="15" hidden="false" customHeight="true" outlineLevel="0" collapsed="false">
      <c r="A29" s="30" t="s">
        <v>83</v>
      </c>
      <c r="B29" s="30" t="s">
        <v>31</v>
      </c>
      <c r="C29" s="18" t="n">
        <v>0</v>
      </c>
      <c r="D29" s="18" t="s">
        <v>53</v>
      </c>
      <c r="E29" s="18" t="s">
        <v>58</v>
      </c>
      <c r="F29" s="31" t="n">
        <v>508</v>
      </c>
      <c r="G29" s="31" t="n">
        <v>474</v>
      </c>
      <c r="H29" s="18" t="n">
        <v>10</v>
      </c>
      <c r="I29" s="32" t="n">
        <v>24</v>
      </c>
      <c r="J29" s="32" t="n">
        <v>0</v>
      </c>
      <c r="K29" s="32" t="n">
        <v>0</v>
      </c>
      <c r="L29" s="31" t="n">
        <f aca="false">H29+I29+J29+K29</f>
        <v>34</v>
      </c>
      <c r="M29" s="32" t="n">
        <v>0</v>
      </c>
      <c r="N29" s="33" t="n">
        <f aca="false">L29+M29</f>
        <v>34</v>
      </c>
      <c r="O29" s="34" t="n">
        <v>5</v>
      </c>
    </row>
    <row r="30" customFormat="false" ht="15" hidden="false" customHeight="true" outlineLevel="0" collapsed="false">
      <c r="A30" s="30" t="s">
        <v>84</v>
      </c>
      <c r="B30" s="30" t="s">
        <v>31</v>
      </c>
      <c r="C30" s="18" t="n">
        <v>0</v>
      </c>
      <c r="D30" s="18" t="s">
        <v>53</v>
      </c>
      <c r="E30" s="18" t="s">
        <v>58</v>
      </c>
      <c r="F30" s="31" t="n">
        <v>508</v>
      </c>
      <c r="G30" s="31" t="n">
        <v>469</v>
      </c>
      <c r="H30" s="18" t="n">
        <v>11</v>
      </c>
      <c r="I30" s="32" t="n">
        <v>28</v>
      </c>
      <c r="J30" s="32" t="n">
        <v>0</v>
      </c>
      <c r="K30" s="32" t="n">
        <v>0</v>
      </c>
      <c r="L30" s="31" t="n">
        <f aca="false">H30+I30+J30+K30</f>
        <v>39</v>
      </c>
      <c r="M30" s="32" t="n">
        <v>2</v>
      </c>
      <c r="N30" s="33" t="n">
        <f aca="false">L30+M30</f>
        <v>41</v>
      </c>
      <c r="O30" s="34" t="n">
        <v>7</v>
      </c>
    </row>
    <row r="31" customFormat="false" ht="15" hidden="false" customHeight="true" outlineLevel="0" collapsed="false">
      <c r="A31" s="30" t="s">
        <v>85</v>
      </c>
      <c r="B31" s="30" t="s">
        <v>31</v>
      </c>
      <c r="C31" s="18" t="n">
        <v>1</v>
      </c>
      <c r="D31" s="18" t="s">
        <v>53</v>
      </c>
      <c r="E31" s="18" t="s">
        <v>54</v>
      </c>
      <c r="F31" s="31" t="n">
        <v>502</v>
      </c>
      <c r="G31" s="31" t="n">
        <v>481</v>
      </c>
      <c r="H31" s="18" t="n">
        <v>16</v>
      </c>
      <c r="I31" s="32" t="n">
        <v>5</v>
      </c>
      <c r="J31" s="32" t="n">
        <v>0</v>
      </c>
      <c r="K31" s="32" t="n">
        <v>0</v>
      </c>
      <c r="L31" s="31" t="n">
        <f aca="false">H31+I31+J31+K31</f>
        <v>21</v>
      </c>
      <c r="M31" s="32" t="n">
        <v>0</v>
      </c>
      <c r="N31" s="33" t="n">
        <f aca="false">L31+M31</f>
        <v>21</v>
      </c>
      <c r="O31" s="34" t="n">
        <v>21</v>
      </c>
    </row>
    <row r="32" customFormat="false" ht="15" hidden="false" customHeight="true" outlineLevel="0" collapsed="false">
      <c r="A32" s="30" t="s">
        <v>86</v>
      </c>
      <c r="B32" s="30" t="s">
        <v>31</v>
      </c>
      <c r="C32" s="18" t="n">
        <v>1</v>
      </c>
      <c r="D32" s="18" t="s">
        <v>53</v>
      </c>
      <c r="E32" s="18" t="s">
        <v>54</v>
      </c>
      <c r="F32" s="31" t="n">
        <v>502</v>
      </c>
      <c r="G32" s="31" t="n">
        <v>477</v>
      </c>
      <c r="H32" s="18" t="n">
        <v>15</v>
      </c>
      <c r="I32" s="32" t="n">
        <v>10</v>
      </c>
      <c r="J32" s="32" t="n">
        <v>0</v>
      </c>
      <c r="K32" s="32" t="n">
        <v>0</v>
      </c>
      <c r="L32" s="31" t="n">
        <f aca="false">H32+I32+J32+K32</f>
        <v>25</v>
      </c>
      <c r="M32" s="32" t="n">
        <v>0</v>
      </c>
      <c r="N32" s="33" t="n">
        <f aca="false">L32+M32</f>
        <v>25</v>
      </c>
      <c r="O32" s="34" t="n">
        <v>26</v>
      </c>
    </row>
    <row r="33" customFormat="false" ht="15" hidden="false" customHeight="true" outlineLevel="0" collapsed="false">
      <c r="A33" s="30" t="s">
        <v>87</v>
      </c>
      <c r="B33" s="30" t="s">
        <v>31</v>
      </c>
      <c r="C33" s="18" t="n">
        <v>1</v>
      </c>
      <c r="D33" s="18" t="s">
        <v>53</v>
      </c>
      <c r="E33" s="18" t="s">
        <v>54</v>
      </c>
      <c r="F33" s="31" t="n">
        <v>502</v>
      </c>
      <c r="G33" s="31" t="n">
        <v>475</v>
      </c>
      <c r="H33" s="18" t="n">
        <v>13</v>
      </c>
      <c r="I33" s="32" t="n">
        <v>14</v>
      </c>
      <c r="J33" s="32" t="n">
        <v>0</v>
      </c>
      <c r="K33" s="32" t="n">
        <v>0</v>
      </c>
      <c r="L33" s="31" t="n">
        <f aca="false">H33+I33+J33+K33</f>
        <v>27</v>
      </c>
      <c r="M33" s="32" t="n">
        <v>0</v>
      </c>
      <c r="N33" s="33" t="n">
        <f aca="false">L33+M33</f>
        <v>27</v>
      </c>
      <c r="O33" s="34" t="n">
        <v>25</v>
      </c>
    </row>
    <row r="34" customFormat="false" ht="15" hidden="false" customHeight="true" outlineLevel="0" collapsed="false">
      <c r="A34" s="30" t="s">
        <v>88</v>
      </c>
      <c r="B34" s="30" t="s">
        <v>31</v>
      </c>
      <c r="C34" s="18" t="n">
        <v>1</v>
      </c>
      <c r="D34" s="18" t="s">
        <v>53</v>
      </c>
      <c r="E34" s="18" t="s">
        <v>54</v>
      </c>
      <c r="F34" s="31" t="n">
        <v>502</v>
      </c>
      <c r="G34" s="31" t="n">
        <v>482</v>
      </c>
      <c r="H34" s="18" t="n">
        <v>11</v>
      </c>
      <c r="I34" s="32" t="n">
        <v>9</v>
      </c>
      <c r="J34" s="32" t="n">
        <v>0</v>
      </c>
      <c r="K34" s="32" t="n">
        <v>0</v>
      </c>
      <c r="L34" s="31" t="n">
        <f aca="false">H34+I34+J34+K34</f>
        <v>20</v>
      </c>
      <c r="M34" s="32" t="n">
        <v>0</v>
      </c>
      <c r="N34" s="33" t="n">
        <f aca="false">L34+M34</f>
        <v>20</v>
      </c>
      <c r="O34" s="34" t="n">
        <v>20</v>
      </c>
    </row>
    <row r="35" customFormat="false" ht="15" hidden="false" customHeight="true" outlineLevel="0" collapsed="false">
      <c r="A35" s="30" t="s">
        <v>89</v>
      </c>
      <c r="B35" s="30" t="s">
        <v>31</v>
      </c>
      <c r="C35" s="18" t="n">
        <v>1</v>
      </c>
      <c r="D35" s="18" t="s">
        <v>53</v>
      </c>
      <c r="E35" s="18" t="s">
        <v>54</v>
      </c>
      <c r="F35" s="31" t="n">
        <v>502</v>
      </c>
      <c r="G35" s="31" t="n">
        <v>473</v>
      </c>
      <c r="H35" s="18" t="n">
        <v>17</v>
      </c>
      <c r="I35" s="32" t="n">
        <v>12</v>
      </c>
      <c r="J35" s="32" t="n">
        <v>0</v>
      </c>
      <c r="K35" s="32" t="n">
        <v>0</v>
      </c>
      <c r="L35" s="31" t="n">
        <f aca="false">H35+I35+J35+K35</f>
        <v>29</v>
      </c>
      <c r="M35" s="32" t="n">
        <v>0</v>
      </c>
      <c r="N35" s="33" t="n">
        <f aca="false">L35+M35</f>
        <v>29</v>
      </c>
      <c r="O35" s="34" t="n">
        <v>27</v>
      </c>
    </row>
    <row r="36" customFormat="false" ht="15" hidden="false" customHeight="true" outlineLevel="0" collapsed="false">
      <c r="A36" s="30" t="s">
        <v>90</v>
      </c>
      <c r="B36" s="30" t="s">
        <v>31</v>
      </c>
      <c r="C36" s="18" t="n">
        <v>1</v>
      </c>
      <c r="D36" s="18" t="s">
        <v>53</v>
      </c>
      <c r="E36" s="18" t="s">
        <v>54</v>
      </c>
      <c r="F36" s="31" t="n">
        <v>502</v>
      </c>
      <c r="G36" s="31" t="n">
        <v>486</v>
      </c>
      <c r="H36" s="18" t="n">
        <v>8</v>
      </c>
      <c r="I36" s="32" t="n">
        <v>8</v>
      </c>
      <c r="J36" s="32" t="n">
        <v>0</v>
      </c>
      <c r="K36" s="32" t="n">
        <v>0</v>
      </c>
      <c r="L36" s="31" t="n">
        <f aca="false">H36+I36+J36+K36</f>
        <v>16</v>
      </c>
      <c r="M36" s="32" t="n">
        <v>0</v>
      </c>
      <c r="N36" s="33" t="n">
        <f aca="false">L36+M36</f>
        <v>16</v>
      </c>
      <c r="O36" s="34" t="n">
        <v>13</v>
      </c>
    </row>
    <row r="37" customFormat="false" ht="15" hidden="false" customHeight="true" outlineLevel="0" collapsed="false">
      <c r="A37" s="30" t="s">
        <v>91</v>
      </c>
      <c r="B37" s="30" t="s">
        <v>31</v>
      </c>
      <c r="C37" s="18" t="n">
        <v>1</v>
      </c>
      <c r="D37" s="18" t="s">
        <v>53</v>
      </c>
      <c r="E37" s="18" t="s">
        <v>54</v>
      </c>
      <c r="F37" s="31" t="n">
        <v>502</v>
      </c>
      <c r="G37" s="31" t="n">
        <v>469</v>
      </c>
      <c r="H37" s="18" t="n">
        <v>15</v>
      </c>
      <c r="I37" s="32" t="n">
        <v>18</v>
      </c>
      <c r="J37" s="32" t="n">
        <v>0</v>
      </c>
      <c r="K37" s="32" t="n">
        <v>0</v>
      </c>
      <c r="L37" s="31" t="n">
        <f aca="false">H37+I37+J37+K37</f>
        <v>33</v>
      </c>
      <c r="M37" s="32" t="n">
        <v>0</v>
      </c>
      <c r="N37" s="33" t="n">
        <f aca="false">L37+M37</f>
        <v>33</v>
      </c>
      <c r="O37" s="34" t="n">
        <v>30</v>
      </c>
    </row>
    <row r="38" customFormat="false" ht="15" hidden="false" customHeight="true" outlineLevel="0" collapsed="false">
      <c r="A38" s="30" t="s">
        <v>92</v>
      </c>
      <c r="B38" s="30" t="s">
        <v>31</v>
      </c>
      <c r="C38" s="18" t="n">
        <v>1</v>
      </c>
      <c r="D38" s="18" t="s">
        <v>53</v>
      </c>
      <c r="E38" s="18" t="s">
        <v>54</v>
      </c>
      <c r="F38" s="31" t="n">
        <v>502</v>
      </c>
      <c r="G38" s="31" t="n">
        <v>474</v>
      </c>
      <c r="H38" s="18" t="n">
        <v>20</v>
      </c>
      <c r="I38" s="32" t="n">
        <v>8</v>
      </c>
      <c r="J38" s="32" t="n">
        <v>0</v>
      </c>
      <c r="K38" s="32" t="n">
        <v>0</v>
      </c>
      <c r="L38" s="31" t="n">
        <f aca="false">H38+I38+J38+K38</f>
        <v>28</v>
      </c>
      <c r="M38" s="32" t="n">
        <v>0</v>
      </c>
      <c r="N38" s="33" t="n">
        <f aca="false">L38+M38</f>
        <v>28</v>
      </c>
      <c r="O38" s="34" t="n">
        <v>27</v>
      </c>
    </row>
    <row r="39" customFormat="false" ht="15" hidden="false" customHeight="true" outlineLevel="0" collapsed="false">
      <c r="A39" s="30" t="s">
        <v>93</v>
      </c>
      <c r="B39" s="30" t="s">
        <v>31</v>
      </c>
      <c r="C39" s="18" t="n">
        <v>1</v>
      </c>
      <c r="D39" s="18" t="s">
        <v>53</v>
      </c>
      <c r="E39" s="18" t="s">
        <v>54</v>
      </c>
      <c r="F39" s="31" t="n">
        <v>502</v>
      </c>
      <c r="G39" s="31" t="n">
        <v>474</v>
      </c>
      <c r="H39" s="18" t="n">
        <v>15</v>
      </c>
      <c r="I39" s="32" t="n">
        <v>13</v>
      </c>
      <c r="J39" s="32" t="n">
        <v>0</v>
      </c>
      <c r="K39" s="32" t="n">
        <v>0</v>
      </c>
      <c r="L39" s="31" t="n">
        <f aca="false">H39+I39+J39+K39</f>
        <v>28</v>
      </c>
      <c r="M39" s="32" t="n">
        <v>0</v>
      </c>
      <c r="N39" s="33" t="n">
        <f aca="false">L39+M39</f>
        <v>28</v>
      </c>
      <c r="O39" s="34" t="n">
        <v>28</v>
      </c>
    </row>
    <row r="40" customFormat="false" ht="15" hidden="false" customHeight="true" outlineLevel="0" collapsed="false">
      <c r="A40" s="30" t="s">
        <v>94</v>
      </c>
      <c r="B40" s="30" t="s">
        <v>31</v>
      </c>
      <c r="C40" s="18" t="n">
        <v>1</v>
      </c>
      <c r="D40" s="18" t="s">
        <v>53</v>
      </c>
      <c r="E40" s="18" t="s">
        <v>58</v>
      </c>
      <c r="F40" s="31" t="n">
        <v>502</v>
      </c>
      <c r="G40" s="31" t="n">
        <v>383</v>
      </c>
      <c r="H40" s="18" t="n">
        <v>112</v>
      </c>
      <c r="I40" s="32" t="n">
        <v>7</v>
      </c>
      <c r="J40" s="32" t="n">
        <v>0</v>
      </c>
      <c r="K40" s="32" t="n">
        <v>0</v>
      </c>
      <c r="L40" s="31" t="n">
        <f aca="false">H40+I40+J40+K40</f>
        <v>119</v>
      </c>
      <c r="M40" s="32" t="n">
        <v>0</v>
      </c>
      <c r="N40" s="33" t="n">
        <f aca="false">L40+M40</f>
        <v>119</v>
      </c>
      <c r="O40" s="34" t="n">
        <v>25</v>
      </c>
    </row>
    <row r="41" customFormat="false" ht="15" hidden="false" customHeight="true" outlineLevel="0" collapsed="false">
      <c r="A41" s="30" t="s">
        <v>95</v>
      </c>
      <c r="B41" s="30" t="s">
        <v>31</v>
      </c>
      <c r="C41" s="18" t="n">
        <v>1</v>
      </c>
      <c r="D41" s="18" t="s">
        <v>53</v>
      </c>
      <c r="E41" s="18" t="s">
        <v>58</v>
      </c>
      <c r="F41" s="31" t="n">
        <v>502</v>
      </c>
      <c r="G41" s="31" t="n">
        <v>448</v>
      </c>
      <c r="H41" s="18" t="n">
        <v>44</v>
      </c>
      <c r="I41" s="32" t="n">
        <v>10</v>
      </c>
      <c r="J41" s="32" t="n">
        <v>0</v>
      </c>
      <c r="K41" s="32" t="n">
        <v>0</v>
      </c>
      <c r="L41" s="31" t="n">
        <f aca="false">H41+I41+J41+K41</f>
        <v>54</v>
      </c>
      <c r="M41" s="32" t="n">
        <v>0</v>
      </c>
      <c r="N41" s="33" t="n">
        <f aca="false">L41+M41</f>
        <v>54</v>
      </c>
      <c r="O41" s="34" t="n">
        <v>6</v>
      </c>
    </row>
    <row r="42" customFormat="false" ht="15" hidden="false" customHeight="true" outlineLevel="0" collapsed="false">
      <c r="A42" s="30" t="s">
        <v>96</v>
      </c>
      <c r="B42" s="30" t="s">
        <v>31</v>
      </c>
      <c r="C42" s="18" t="n">
        <v>1</v>
      </c>
      <c r="D42" s="18" t="s">
        <v>53</v>
      </c>
      <c r="E42" s="18" t="s">
        <v>58</v>
      </c>
      <c r="F42" s="31" t="n">
        <v>502</v>
      </c>
      <c r="G42" s="31" t="n">
        <v>449</v>
      </c>
      <c r="H42" s="18" t="n">
        <v>48</v>
      </c>
      <c r="I42" s="32" t="n">
        <v>5</v>
      </c>
      <c r="J42" s="32" t="n">
        <v>0</v>
      </c>
      <c r="K42" s="32" t="n">
        <v>0</v>
      </c>
      <c r="L42" s="31" t="n">
        <f aca="false">H42+I42+J42+K42</f>
        <v>53</v>
      </c>
      <c r="M42" s="32" t="n">
        <v>0</v>
      </c>
      <c r="N42" s="33" t="n">
        <f aca="false">L42+M42</f>
        <v>53</v>
      </c>
      <c r="O42" s="34" t="n">
        <v>5</v>
      </c>
    </row>
    <row r="43" customFormat="false" ht="15" hidden="false" customHeight="true" outlineLevel="0" collapsed="false">
      <c r="A43" s="30" t="s">
        <v>97</v>
      </c>
      <c r="B43" s="30" t="s">
        <v>31</v>
      </c>
      <c r="C43" s="18" t="n">
        <v>1</v>
      </c>
      <c r="D43" s="18" t="s">
        <v>53</v>
      </c>
      <c r="E43" s="18" t="s">
        <v>58</v>
      </c>
      <c r="F43" s="31" t="n">
        <v>502</v>
      </c>
      <c r="G43" s="31" t="n">
        <v>443</v>
      </c>
      <c r="H43" s="18" t="n">
        <v>49</v>
      </c>
      <c r="I43" s="32" t="n">
        <v>10</v>
      </c>
      <c r="J43" s="32" t="n">
        <v>0</v>
      </c>
      <c r="K43" s="32" t="n">
        <v>0</v>
      </c>
      <c r="L43" s="31" t="n">
        <f aca="false">H43+I43+J43+K43</f>
        <v>59</v>
      </c>
      <c r="M43" s="32" t="n">
        <v>0</v>
      </c>
      <c r="N43" s="33" t="n">
        <f aca="false">L43+M43</f>
        <v>59</v>
      </c>
      <c r="O43" s="34" t="n">
        <v>6</v>
      </c>
    </row>
    <row r="44" customFormat="false" ht="15" hidden="false" customHeight="true" outlineLevel="0" collapsed="false">
      <c r="A44" s="30" t="s">
        <v>98</v>
      </c>
      <c r="B44" s="30" t="s">
        <v>31</v>
      </c>
      <c r="C44" s="18" t="n">
        <v>2</v>
      </c>
      <c r="D44" s="18" t="s">
        <v>53</v>
      </c>
      <c r="E44" s="18" t="s">
        <v>54</v>
      </c>
      <c r="F44" s="31" t="n">
        <v>502</v>
      </c>
      <c r="G44" s="31" t="n">
        <v>474</v>
      </c>
      <c r="H44" s="18" t="n">
        <v>19</v>
      </c>
      <c r="I44" s="32" t="n">
        <v>9</v>
      </c>
      <c r="J44" s="32" t="n">
        <v>0</v>
      </c>
      <c r="K44" s="32" t="n">
        <v>0</v>
      </c>
      <c r="L44" s="31" t="n">
        <f aca="false">H44+I44+J44+K44</f>
        <v>28</v>
      </c>
      <c r="M44" s="32" t="n">
        <v>0</v>
      </c>
      <c r="N44" s="33" t="n">
        <f aca="false">L44+M44</f>
        <v>28</v>
      </c>
      <c r="O44" s="34" t="n">
        <v>27</v>
      </c>
    </row>
    <row r="45" customFormat="false" ht="15" hidden="false" customHeight="true" outlineLevel="0" collapsed="false">
      <c r="A45" s="30" t="s">
        <v>99</v>
      </c>
      <c r="B45" s="30" t="s">
        <v>31</v>
      </c>
      <c r="C45" s="18" t="n">
        <v>2</v>
      </c>
      <c r="D45" s="18" t="s">
        <v>53</v>
      </c>
      <c r="E45" s="18" t="s">
        <v>54</v>
      </c>
      <c r="F45" s="31" t="n">
        <v>502</v>
      </c>
      <c r="G45" s="31" t="n">
        <v>485</v>
      </c>
      <c r="H45" s="18" t="n">
        <v>10</v>
      </c>
      <c r="I45" s="32" t="n">
        <v>7</v>
      </c>
      <c r="J45" s="32" t="n">
        <v>0</v>
      </c>
      <c r="K45" s="32" t="n">
        <v>0</v>
      </c>
      <c r="L45" s="31" t="n">
        <f aca="false">H45+I45+J45+K45</f>
        <v>17</v>
      </c>
      <c r="M45" s="32" t="n">
        <v>0</v>
      </c>
      <c r="N45" s="33" t="n">
        <f aca="false">L45+M45</f>
        <v>17</v>
      </c>
      <c r="O45" s="34" t="n">
        <v>14</v>
      </c>
    </row>
    <row r="46" customFormat="false" ht="15" hidden="false" customHeight="true" outlineLevel="0" collapsed="false">
      <c r="A46" s="30" t="s">
        <v>100</v>
      </c>
      <c r="B46" s="30" t="s">
        <v>31</v>
      </c>
      <c r="C46" s="18" t="n">
        <v>2</v>
      </c>
      <c r="D46" s="18" t="s">
        <v>53</v>
      </c>
      <c r="E46" s="18" t="s">
        <v>54</v>
      </c>
      <c r="F46" s="31" t="n">
        <v>502</v>
      </c>
      <c r="G46" s="31" t="n">
        <v>483</v>
      </c>
      <c r="H46" s="18" t="n">
        <v>13</v>
      </c>
      <c r="I46" s="32" t="n">
        <v>6</v>
      </c>
      <c r="J46" s="32" t="n">
        <v>0</v>
      </c>
      <c r="K46" s="32" t="n">
        <v>0</v>
      </c>
      <c r="L46" s="31" t="n">
        <f aca="false">H46+I46+J46+K46</f>
        <v>19</v>
      </c>
      <c r="M46" s="32" t="n">
        <v>0</v>
      </c>
      <c r="N46" s="33" t="n">
        <f aca="false">L46+M46</f>
        <v>19</v>
      </c>
      <c r="O46" s="34" t="n">
        <v>16</v>
      </c>
    </row>
    <row r="47" customFormat="false" ht="15" hidden="false" customHeight="true" outlineLevel="0" collapsed="false">
      <c r="A47" s="30" t="s">
        <v>101</v>
      </c>
      <c r="B47" s="30" t="s">
        <v>31</v>
      </c>
      <c r="C47" s="18" t="n">
        <v>2</v>
      </c>
      <c r="D47" s="18" t="s">
        <v>53</v>
      </c>
      <c r="E47" s="18" t="s">
        <v>54</v>
      </c>
      <c r="F47" s="31" t="n">
        <v>502</v>
      </c>
      <c r="G47" s="31" t="n">
        <v>437</v>
      </c>
      <c r="H47" s="18" t="n">
        <v>61</v>
      </c>
      <c r="I47" s="32" t="n">
        <v>4</v>
      </c>
      <c r="J47" s="32" t="n">
        <v>0</v>
      </c>
      <c r="K47" s="32" t="n">
        <v>0</v>
      </c>
      <c r="L47" s="31" t="n">
        <f aca="false">H47+I47+J47+K47</f>
        <v>65</v>
      </c>
      <c r="M47" s="32" t="n">
        <v>0</v>
      </c>
      <c r="N47" s="33" t="n">
        <f aca="false">L47+M47</f>
        <v>65</v>
      </c>
      <c r="O47" s="34" t="n">
        <v>18</v>
      </c>
    </row>
    <row r="48" customFormat="false" ht="15" hidden="false" customHeight="true" outlineLevel="0" collapsed="false">
      <c r="A48" s="30" t="s">
        <v>102</v>
      </c>
      <c r="B48" s="30" t="s">
        <v>31</v>
      </c>
      <c r="C48" s="18" t="n">
        <v>2</v>
      </c>
      <c r="D48" s="18" t="s">
        <v>53</v>
      </c>
      <c r="E48" s="18" t="s">
        <v>54</v>
      </c>
      <c r="F48" s="31" t="n">
        <v>502</v>
      </c>
      <c r="G48" s="31" t="n">
        <v>447</v>
      </c>
      <c r="H48" s="18" t="n">
        <v>35</v>
      </c>
      <c r="I48" s="32" t="n">
        <v>20</v>
      </c>
      <c r="J48" s="32" t="n">
        <v>0</v>
      </c>
      <c r="K48" s="32" t="n">
        <v>0</v>
      </c>
      <c r="L48" s="31" t="n">
        <f aca="false">H48+I48+J48+K48</f>
        <v>55</v>
      </c>
      <c r="M48" s="32" t="n">
        <v>0</v>
      </c>
      <c r="N48" s="33" t="n">
        <f aca="false">L48+M48</f>
        <v>55</v>
      </c>
      <c r="O48" s="34" t="n">
        <v>49</v>
      </c>
    </row>
    <row r="49" customFormat="false" ht="15" hidden="false" customHeight="true" outlineLevel="0" collapsed="false">
      <c r="A49" s="30" t="s">
        <v>103</v>
      </c>
      <c r="B49" s="30" t="s">
        <v>31</v>
      </c>
      <c r="C49" s="18" t="n">
        <v>2</v>
      </c>
      <c r="D49" s="18" t="s">
        <v>57</v>
      </c>
      <c r="E49" s="18" t="s">
        <v>58</v>
      </c>
      <c r="F49" s="31" t="n">
        <v>502</v>
      </c>
      <c r="G49" s="31" t="n">
        <v>412</v>
      </c>
      <c r="H49" s="18" t="n">
        <v>0</v>
      </c>
      <c r="I49" s="32" t="n">
        <v>90</v>
      </c>
      <c r="J49" s="32" t="n">
        <v>0</v>
      </c>
      <c r="K49" s="32" t="n">
        <v>0</v>
      </c>
      <c r="L49" s="31" t="n">
        <f aca="false">H49+I49+J49+K49</f>
        <v>90</v>
      </c>
      <c r="M49" s="32" t="n">
        <v>0</v>
      </c>
      <c r="N49" s="33" t="n">
        <f aca="false">L49+M49</f>
        <v>90</v>
      </c>
      <c r="O49" s="34" t="n">
        <v>126</v>
      </c>
    </row>
    <row r="50" customFormat="false" ht="15" hidden="false" customHeight="true" outlineLevel="0" collapsed="false">
      <c r="A50" s="30" t="s">
        <v>104</v>
      </c>
      <c r="B50" s="30" t="s">
        <v>31</v>
      </c>
      <c r="C50" s="18" t="n">
        <v>2</v>
      </c>
      <c r="D50" s="18" t="s">
        <v>57</v>
      </c>
      <c r="E50" s="18" t="s">
        <v>58</v>
      </c>
      <c r="F50" s="31" t="n">
        <v>502</v>
      </c>
      <c r="G50" s="31" t="n">
        <v>401</v>
      </c>
      <c r="H50" s="18" t="n">
        <v>0</v>
      </c>
      <c r="I50" s="32" t="n">
        <v>101</v>
      </c>
      <c r="J50" s="32" t="n">
        <v>0</v>
      </c>
      <c r="K50" s="32" t="n">
        <v>0</v>
      </c>
      <c r="L50" s="31" t="n">
        <f aca="false">H50+I50+J50+K50</f>
        <v>101</v>
      </c>
      <c r="M50" s="32" t="n">
        <v>0</v>
      </c>
      <c r="N50" s="33" t="n">
        <f aca="false">L50+M50</f>
        <v>101</v>
      </c>
      <c r="O50" s="34" t="n">
        <v>137</v>
      </c>
    </row>
    <row r="51" customFormat="false" ht="15" hidden="false" customHeight="true" outlineLevel="0" collapsed="false">
      <c r="A51" s="30" t="s">
        <v>105</v>
      </c>
      <c r="B51" s="30" t="s">
        <v>31</v>
      </c>
      <c r="C51" s="18" t="n">
        <v>2</v>
      </c>
      <c r="D51" s="18" t="s">
        <v>57</v>
      </c>
      <c r="E51" s="18" t="s">
        <v>58</v>
      </c>
      <c r="F51" s="31" t="n">
        <v>502</v>
      </c>
      <c r="G51" s="31" t="n">
        <v>376</v>
      </c>
      <c r="H51" s="18" t="n">
        <v>0</v>
      </c>
      <c r="I51" s="32" t="n">
        <v>126</v>
      </c>
      <c r="J51" s="32" t="n">
        <v>0</v>
      </c>
      <c r="K51" s="32" t="n">
        <v>0</v>
      </c>
      <c r="L51" s="31" t="n">
        <f aca="false">H51+I51+J51+K51</f>
        <v>126</v>
      </c>
      <c r="M51" s="32" t="n">
        <v>0</v>
      </c>
      <c r="N51" s="33" t="n">
        <f aca="false">L51+M51</f>
        <v>126</v>
      </c>
      <c r="O51" s="34" t="n">
        <v>169</v>
      </c>
    </row>
    <row r="52" customFormat="false" ht="15" hidden="false" customHeight="true" outlineLevel="0" collapsed="false">
      <c r="A52" s="30" t="s">
        <v>106</v>
      </c>
      <c r="B52" s="30" t="s">
        <v>31</v>
      </c>
      <c r="C52" s="18" t="n">
        <v>2</v>
      </c>
      <c r="D52" s="18" t="s">
        <v>57</v>
      </c>
      <c r="E52" s="18" t="s">
        <v>58</v>
      </c>
      <c r="F52" s="31" t="n">
        <v>502</v>
      </c>
      <c r="G52" s="31" t="n">
        <v>402</v>
      </c>
      <c r="H52" s="18" t="n">
        <v>0</v>
      </c>
      <c r="I52" s="32" t="n">
        <v>94</v>
      </c>
      <c r="J52" s="32" t="n">
        <v>6</v>
      </c>
      <c r="K52" s="32" t="n">
        <v>0</v>
      </c>
      <c r="L52" s="31" t="n">
        <f aca="false">H52+I52+J52+K52</f>
        <v>100</v>
      </c>
      <c r="M52" s="32" t="n">
        <v>0</v>
      </c>
      <c r="N52" s="33" t="n">
        <f aca="false">L52+M52</f>
        <v>100</v>
      </c>
      <c r="O52" s="34" t="n">
        <v>122</v>
      </c>
    </row>
    <row r="53" customFormat="false" ht="15" hidden="false" customHeight="true" outlineLevel="0" collapsed="false">
      <c r="A53" s="30" t="s">
        <v>107</v>
      </c>
      <c r="B53" s="30" t="s">
        <v>31</v>
      </c>
      <c r="C53" s="18" t="n">
        <v>2</v>
      </c>
      <c r="D53" s="18" t="s">
        <v>57</v>
      </c>
      <c r="E53" s="18" t="s">
        <v>58</v>
      </c>
      <c r="F53" s="31" t="n">
        <v>502</v>
      </c>
      <c r="G53" s="31" t="n">
        <v>389</v>
      </c>
      <c r="H53" s="18" t="n">
        <v>0</v>
      </c>
      <c r="I53" s="32" t="n">
        <v>113</v>
      </c>
      <c r="J53" s="32" t="n">
        <v>0</v>
      </c>
      <c r="K53" s="32" t="n">
        <v>0</v>
      </c>
      <c r="L53" s="31" t="n">
        <f aca="false">H53+I53+J53+K53</f>
        <v>113</v>
      </c>
      <c r="M53" s="32" t="n">
        <v>0</v>
      </c>
      <c r="N53" s="33" t="n">
        <f aca="false">L53+M53</f>
        <v>113</v>
      </c>
      <c r="O53" s="34" t="n">
        <v>140</v>
      </c>
    </row>
    <row r="54" customFormat="false" ht="15" hidden="false" customHeight="true" outlineLevel="0" collapsed="false">
      <c r="A54" s="30" t="s">
        <v>108</v>
      </c>
      <c r="B54" s="30" t="s">
        <v>31</v>
      </c>
      <c r="C54" s="18" t="n">
        <v>2</v>
      </c>
      <c r="D54" s="18" t="s">
        <v>57</v>
      </c>
      <c r="E54" s="18" t="s">
        <v>58</v>
      </c>
      <c r="F54" s="31" t="n">
        <v>502</v>
      </c>
      <c r="G54" s="31" t="n">
        <v>400</v>
      </c>
      <c r="H54" s="18" t="n">
        <v>0</v>
      </c>
      <c r="I54" s="32" t="n">
        <v>102</v>
      </c>
      <c r="J54" s="32" t="n">
        <v>0</v>
      </c>
      <c r="K54" s="32" t="n">
        <v>0</v>
      </c>
      <c r="L54" s="31" t="n">
        <f aca="false">H54+I54+J54+K54</f>
        <v>102</v>
      </c>
      <c r="M54" s="32" t="n">
        <v>0</v>
      </c>
      <c r="N54" s="33" t="n">
        <f aca="false">L54+M54</f>
        <v>102</v>
      </c>
      <c r="O54" s="34" t="n">
        <v>126</v>
      </c>
    </row>
    <row r="55" customFormat="false" ht="15" hidden="false" customHeight="true" outlineLevel="0" collapsed="false">
      <c r="A55" s="30" t="s">
        <v>109</v>
      </c>
      <c r="B55" s="30" t="s">
        <v>31</v>
      </c>
      <c r="C55" s="18" t="n">
        <v>2</v>
      </c>
      <c r="D55" s="18" t="s">
        <v>57</v>
      </c>
      <c r="E55" s="18" t="s">
        <v>58</v>
      </c>
      <c r="F55" s="31" t="n">
        <v>502</v>
      </c>
      <c r="G55" s="31" t="n">
        <v>378</v>
      </c>
      <c r="H55" s="18" t="n">
        <v>0</v>
      </c>
      <c r="I55" s="32" t="n">
        <v>124</v>
      </c>
      <c r="J55" s="32" t="n">
        <v>0</v>
      </c>
      <c r="K55" s="32" t="n">
        <v>0</v>
      </c>
      <c r="L55" s="31" t="n">
        <f aca="false">H55+I55+J55+K55</f>
        <v>124</v>
      </c>
      <c r="M55" s="32" t="n">
        <v>0</v>
      </c>
      <c r="N55" s="33" t="n">
        <f aca="false">L55+M55</f>
        <v>124</v>
      </c>
      <c r="O55" s="34" t="n">
        <v>145</v>
      </c>
    </row>
    <row r="56" customFormat="false" ht="15" hidden="false" customHeight="true" outlineLevel="0" collapsed="false">
      <c r="A56" s="30" t="s">
        <v>110</v>
      </c>
      <c r="B56" s="30" t="s">
        <v>31</v>
      </c>
      <c r="C56" s="18" t="n">
        <v>2</v>
      </c>
      <c r="D56" s="18" t="s">
        <v>57</v>
      </c>
      <c r="E56" s="18" t="s">
        <v>58</v>
      </c>
      <c r="F56" s="31" t="n">
        <v>502</v>
      </c>
      <c r="G56" s="31" t="n">
        <v>400</v>
      </c>
      <c r="H56" s="18" t="n">
        <v>0</v>
      </c>
      <c r="I56" s="32" t="n">
        <v>102</v>
      </c>
      <c r="J56" s="32" t="n">
        <v>0</v>
      </c>
      <c r="K56" s="32" t="n">
        <v>0</v>
      </c>
      <c r="L56" s="31" t="n">
        <f aca="false">H56+I56+J56+K56</f>
        <v>102</v>
      </c>
      <c r="M56" s="32" t="n">
        <v>0</v>
      </c>
      <c r="N56" s="33" t="n">
        <f aca="false">L56+M56</f>
        <v>102</v>
      </c>
      <c r="O56" s="34" t="n">
        <v>136</v>
      </c>
    </row>
    <row r="57" customFormat="false" ht="15" hidden="false" customHeight="true" outlineLevel="0" collapsed="false">
      <c r="A57" s="30" t="s">
        <v>111</v>
      </c>
      <c r="B57" s="30" t="s">
        <v>32</v>
      </c>
      <c r="C57" s="18" t="n">
        <v>0</v>
      </c>
      <c r="D57" s="18" t="s">
        <v>53</v>
      </c>
      <c r="E57" s="18" t="s">
        <v>58</v>
      </c>
      <c r="F57" s="31" t="n">
        <v>508</v>
      </c>
      <c r="G57" s="31" t="n">
        <v>493</v>
      </c>
      <c r="H57" s="18" t="n">
        <v>0</v>
      </c>
      <c r="I57" s="32" t="n">
        <v>15</v>
      </c>
      <c r="J57" s="32" t="n">
        <v>0</v>
      </c>
      <c r="K57" s="32" t="n">
        <v>0</v>
      </c>
      <c r="L57" s="31" t="n">
        <f aca="false">H57+I57+J57+K57</f>
        <v>15</v>
      </c>
      <c r="M57" s="32" t="n">
        <v>0</v>
      </c>
      <c r="N57" s="33" t="n">
        <f aca="false">L57+M57</f>
        <v>15</v>
      </c>
      <c r="O57" s="34" t="n">
        <v>2</v>
      </c>
    </row>
    <row r="58" customFormat="false" ht="15" hidden="false" customHeight="true" outlineLevel="0" collapsed="false">
      <c r="A58" s="30" t="s">
        <v>112</v>
      </c>
      <c r="B58" s="30" t="s">
        <v>32</v>
      </c>
      <c r="C58" s="18" t="n">
        <v>0</v>
      </c>
      <c r="D58" s="18" t="s">
        <v>53</v>
      </c>
      <c r="E58" s="18" t="s">
        <v>58</v>
      </c>
      <c r="F58" s="31" t="n">
        <v>508</v>
      </c>
      <c r="G58" s="31" t="n">
        <v>505</v>
      </c>
      <c r="H58" s="18" t="n">
        <v>0</v>
      </c>
      <c r="I58" s="32" t="n">
        <v>3</v>
      </c>
      <c r="J58" s="32" t="n">
        <v>0</v>
      </c>
      <c r="K58" s="32" t="n">
        <v>0</v>
      </c>
      <c r="L58" s="31" t="n">
        <f aca="false">H58+I58+J58+K58</f>
        <v>3</v>
      </c>
      <c r="M58" s="32" t="n">
        <v>0</v>
      </c>
      <c r="N58" s="33" t="n">
        <f aca="false">L58+M58</f>
        <v>3</v>
      </c>
      <c r="O58" s="34" t="n">
        <v>0</v>
      </c>
    </row>
    <row r="59" customFormat="false" ht="15" hidden="false" customHeight="true" outlineLevel="0" collapsed="false">
      <c r="A59" s="30" t="s">
        <v>113</v>
      </c>
      <c r="B59" s="30" t="s">
        <v>32</v>
      </c>
      <c r="C59" s="18" t="n">
        <v>0</v>
      </c>
      <c r="D59" s="18" t="s">
        <v>53</v>
      </c>
      <c r="E59" s="18" t="s">
        <v>58</v>
      </c>
      <c r="F59" s="31" t="n">
        <v>508</v>
      </c>
      <c r="G59" s="31" t="n">
        <v>505</v>
      </c>
      <c r="H59" s="18" t="n">
        <v>0</v>
      </c>
      <c r="I59" s="32" t="n">
        <v>3</v>
      </c>
      <c r="J59" s="32" t="n">
        <v>0</v>
      </c>
      <c r="K59" s="32" t="n">
        <v>0</v>
      </c>
      <c r="L59" s="31" t="n">
        <f aca="false">H59+I59+J59+K59</f>
        <v>3</v>
      </c>
      <c r="M59" s="32" t="n">
        <v>0</v>
      </c>
      <c r="N59" s="33" t="n">
        <f aca="false">L59+M59</f>
        <v>3</v>
      </c>
      <c r="O59" s="34" t="n">
        <v>0</v>
      </c>
    </row>
    <row r="60" customFormat="false" ht="15" hidden="false" customHeight="true" outlineLevel="0" collapsed="false">
      <c r="A60" s="30" t="s">
        <v>114</v>
      </c>
      <c r="B60" s="30" t="s">
        <v>32</v>
      </c>
      <c r="C60" s="18" t="n">
        <v>0</v>
      </c>
      <c r="D60" s="18" t="s">
        <v>53</v>
      </c>
      <c r="E60" s="18" t="s">
        <v>58</v>
      </c>
      <c r="F60" s="31" t="n">
        <v>508</v>
      </c>
      <c r="G60" s="31" t="n">
        <v>493</v>
      </c>
      <c r="H60" s="18" t="n">
        <v>0</v>
      </c>
      <c r="I60" s="32" t="n">
        <v>15</v>
      </c>
      <c r="J60" s="32" t="n">
        <v>0</v>
      </c>
      <c r="K60" s="32" t="n">
        <v>0</v>
      </c>
      <c r="L60" s="31" t="n">
        <f aca="false">H60+I60+J60+K60</f>
        <v>15</v>
      </c>
      <c r="M60" s="32" t="n">
        <v>0</v>
      </c>
      <c r="N60" s="33" t="n">
        <f aca="false">L60+M60</f>
        <v>15</v>
      </c>
      <c r="O60" s="34" t="n">
        <v>0</v>
      </c>
    </row>
    <row r="61" customFormat="false" ht="15" hidden="false" customHeight="true" outlineLevel="0" collapsed="false">
      <c r="A61" s="30" t="s">
        <v>115</v>
      </c>
      <c r="B61" s="30" t="s">
        <v>32</v>
      </c>
      <c r="C61" s="18" t="n">
        <v>0</v>
      </c>
      <c r="D61" s="18" t="s">
        <v>53</v>
      </c>
      <c r="E61" s="18" t="s">
        <v>58</v>
      </c>
      <c r="F61" s="31" t="n">
        <v>508</v>
      </c>
      <c r="G61" s="31" t="n">
        <v>489</v>
      </c>
      <c r="H61" s="18" t="n">
        <v>0</v>
      </c>
      <c r="I61" s="32" t="n">
        <v>19</v>
      </c>
      <c r="J61" s="32" t="n">
        <v>0</v>
      </c>
      <c r="K61" s="32" t="n">
        <v>0</v>
      </c>
      <c r="L61" s="31" t="n">
        <f aca="false">H61+I61+J61+K61</f>
        <v>19</v>
      </c>
      <c r="M61" s="32" t="n">
        <v>0</v>
      </c>
      <c r="N61" s="33" t="n">
        <f aca="false">L61+M61</f>
        <v>19</v>
      </c>
      <c r="O61" s="34" t="n">
        <v>1</v>
      </c>
    </row>
    <row r="62" customFormat="false" ht="15" hidden="false" customHeight="true" outlineLevel="0" collapsed="false">
      <c r="A62" s="30" t="s">
        <v>116</v>
      </c>
      <c r="B62" s="30" t="s">
        <v>32</v>
      </c>
      <c r="C62" s="18" t="n">
        <v>0</v>
      </c>
      <c r="D62" s="18" t="s">
        <v>53</v>
      </c>
      <c r="E62" s="18" t="s">
        <v>58</v>
      </c>
      <c r="F62" s="31" t="n">
        <v>508</v>
      </c>
      <c r="G62" s="31" t="n">
        <v>407</v>
      </c>
      <c r="H62" s="18" t="n">
        <v>47</v>
      </c>
      <c r="I62" s="32" t="n">
        <v>0</v>
      </c>
      <c r="J62" s="32" t="n">
        <v>0</v>
      </c>
      <c r="K62" s="32" t="n">
        <v>54</v>
      </c>
      <c r="L62" s="31" t="n">
        <f aca="false">H62+I62+J62+K62</f>
        <v>101</v>
      </c>
      <c r="M62" s="32" t="n">
        <v>1</v>
      </c>
      <c r="N62" s="33" t="n">
        <f aca="false">L62+M62</f>
        <v>102</v>
      </c>
      <c r="O62" s="34" t="n">
        <v>5</v>
      </c>
    </row>
    <row r="63" customFormat="false" ht="15" hidden="false" customHeight="true" outlineLevel="0" collapsed="false">
      <c r="A63" s="30" t="s">
        <v>117</v>
      </c>
      <c r="B63" s="30" t="s">
        <v>32</v>
      </c>
      <c r="C63" s="18" t="n">
        <v>0</v>
      </c>
      <c r="D63" s="18" t="s">
        <v>53</v>
      </c>
      <c r="E63" s="18" t="s">
        <v>58</v>
      </c>
      <c r="F63" s="31" t="n">
        <v>508</v>
      </c>
      <c r="G63" s="31" t="n">
        <v>382</v>
      </c>
      <c r="H63" s="18" t="n">
        <v>72</v>
      </c>
      <c r="I63" s="32" t="n">
        <v>0</v>
      </c>
      <c r="J63" s="32" t="n">
        <v>0</v>
      </c>
      <c r="K63" s="32" t="n">
        <v>54</v>
      </c>
      <c r="L63" s="31" t="n">
        <f aca="false">H63+I63+J63+K63</f>
        <v>126</v>
      </c>
      <c r="M63" s="32" t="n">
        <v>0</v>
      </c>
      <c r="N63" s="33" t="n">
        <f aca="false">L63+M63</f>
        <v>126</v>
      </c>
      <c r="O63" s="34" t="n">
        <v>24</v>
      </c>
    </row>
    <row r="64" customFormat="false" ht="15" hidden="false" customHeight="true" outlineLevel="0" collapsed="false">
      <c r="A64" s="30" t="s">
        <v>118</v>
      </c>
      <c r="B64" s="30" t="s">
        <v>32</v>
      </c>
      <c r="C64" s="18" t="n">
        <v>0</v>
      </c>
      <c r="D64" s="18" t="s">
        <v>53</v>
      </c>
      <c r="E64" s="18" t="s">
        <v>58</v>
      </c>
      <c r="F64" s="31" t="n">
        <v>508</v>
      </c>
      <c r="G64" s="31" t="n">
        <v>355</v>
      </c>
      <c r="H64" s="18" t="n">
        <v>99</v>
      </c>
      <c r="I64" s="32" t="n">
        <v>0</v>
      </c>
      <c r="J64" s="32" t="n">
        <v>0</v>
      </c>
      <c r="K64" s="32" t="n">
        <v>54</v>
      </c>
      <c r="L64" s="31" t="n">
        <f aca="false">H64+I64+J64+K64</f>
        <v>153</v>
      </c>
      <c r="M64" s="32" t="n">
        <v>5</v>
      </c>
      <c r="N64" s="33" t="n">
        <f aca="false">L64+M64</f>
        <v>158</v>
      </c>
      <c r="O64" s="34" t="n">
        <v>10</v>
      </c>
    </row>
    <row r="65" customFormat="false" ht="15" hidden="false" customHeight="true" outlineLevel="0" collapsed="false">
      <c r="A65" s="30" t="s">
        <v>119</v>
      </c>
      <c r="B65" s="30" t="s">
        <v>32</v>
      </c>
      <c r="C65" s="18" t="n">
        <v>0</v>
      </c>
      <c r="D65" s="18" t="s">
        <v>53</v>
      </c>
      <c r="E65" s="18" t="s">
        <v>58</v>
      </c>
      <c r="F65" s="31" t="n">
        <v>508</v>
      </c>
      <c r="G65" s="31" t="n">
        <v>376</v>
      </c>
      <c r="H65" s="18" t="n">
        <v>78</v>
      </c>
      <c r="I65" s="32" t="n">
        <v>0</v>
      </c>
      <c r="J65" s="32" t="n">
        <v>0</v>
      </c>
      <c r="K65" s="32" t="n">
        <v>54</v>
      </c>
      <c r="L65" s="31" t="n">
        <f aca="false">H65+I65+J65+K65</f>
        <v>132</v>
      </c>
      <c r="M65" s="32" t="n">
        <v>2</v>
      </c>
      <c r="N65" s="33" t="n">
        <f aca="false">L65+M65</f>
        <v>134</v>
      </c>
      <c r="O65" s="34" t="n">
        <v>2</v>
      </c>
    </row>
    <row r="66" customFormat="false" ht="15" hidden="false" customHeight="true" outlineLevel="0" collapsed="false">
      <c r="A66" s="30" t="s">
        <v>120</v>
      </c>
      <c r="B66" s="30" t="s">
        <v>32</v>
      </c>
      <c r="C66" s="18" t="n">
        <v>0</v>
      </c>
      <c r="D66" s="18" t="s">
        <v>53</v>
      </c>
      <c r="E66" s="18" t="s">
        <v>58</v>
      </c>
      <c r="F66" s="31" t="n">
        <v>508</v>
      </c>
      <c r="G66" s="31" t="n">
        <v>365</v>
      </c>
      <c r="H66" s="18" t="n">
        <v>89</v>
      </c>
      <c r="I66" s="32" t="n">
        <v>0</v>
      </c>
      <c r="J66" s="32" t="n">
        <v>0</v>
      </c>
      <c r="K66" s="32" t="n">
        <v>54</v>
      </c>
      <c r="L66" s="31" t="n">
        <f aca="false">H66+I66+J66+K66</f>
        <v>143</v>
      </c>
      <c r="M66" s="32" t="n">
        <v>3</v>
      </c>
      <c r="N66" s="33" t="n">
        <f aca="false">L66+M66</f>
        <v>146</v>
      </c>
      <c r="O66" s="34" t="n">
        <v>7</v>
      </c>
    </row>
    <row r="67" customFormat="false" ht="15" hidden="false" customHeight="true" outlineLevel="0" collapsed="false">
      <c r="A67" s="30" t="s">
        <v>121</v>
      </c>
      <c r="B67" s="30" t="s">
        <v>32</v>
      </c>
      <c r="C67" s="18" t="n">
        <v>0</v>
      </c>
      <c r="D67" s="18" t="s">
        <v>63</v>
      </c>
      <c r="E67" s="18" t="s">
        <v>64</v>
      </c>
      <c r="F67" s="31" t="n">
        <v>508</v>
      </c>
      <c r="G67" s="31" t="n">
        <v>489</v>
      </c>
      <c r="H67" s="18" t="n">
        <v>0</v>
      </c>
      <c r="I67" s="32" t="n">
        <v>19</v>
      </c>
      <c r="J67" s="32" t="n">
        <v>0</v>
      </c>
      <c r="K67" s="32" t="n">
        <v>0</v>
      </c>
      <c r="L67" s="31" t="n">
        <f aca="false">H67+I67+J67+K67</f>
        <v>19</v>
      </c>
      <c r="M67" s="32" t="n">
        <v>1</v>
      </c>
      <c r="N67" s="33" t="n">
        <f aca="false">L67+M67</f>
        <v>20</v>
      </c>
      <c r="O67" s="34" t="n">
        <v>0</v>
      </c>
    </row>
    <row r="68" customFormat="false" ht="15" hidden="false" customHeight="true" outlineLevel="0" collapsed="false">
      <c r="A68" s="30" t="s">
        <v>122</v>
      </c>
      <c r="B68" s="30" t="s">
        <v>32</v>
      </c>
      <c r="C68" s="18" t="n">
        <v>0</v>
      </c>
      <c r="D68" s="18" t="s">
        <v>53</v>
      </c>
      <c r="E68" s="18" t="s">
        <v>58</v>
      </c>
      <c r="F68" s="31" t="n">
        <v>508</v>
      </c>
      <c r="G68" s="31" t="n">
        <v>385</v>
      </c>
      <c r="H68" s="18" t="n">
        <v>69</v>
      </c>
      <c r="I68" s="32" t="n">
        <v>0</v>
      </c>
      <c r="J68" s="32" t="n">
        <v>0</v>
      </c>
      <c r="K68" s="32" t="n">
        <v>54</v>
      </c>
      <c r="L68" s="31" t="n">
        <f aca="false">H68+I68+J68+K68</f>
        <v>123</v>
      </c>
      <c r="M68" s="32" t="n">
        <v>1</v>
      </c>
      <c r="N68" s="33" t="n">
        <f aca="false">L68+M68</f>
        <v>124</v>
      </c>
      <c r="O68" s="34" t="n">
        <v>1</v>
      </c>
    </row>
    <row r="69" customFormat="false" ht="15" hidden="false" customHeight="true" outlineLevel="0" collapsed="false">
      <c r="A69" s="30" t="s">
        <v>123</v>
      </c>
      <c r="B69" s="30" t="s">
        <v>32</v>
      </c>
      <c r="C69" s="18" t="n">
        <v>0</v>
      </c>
      <c r="D69" s="18" t="s">
        <v>53</v>
      </c>
      <c r="E69" s="18" t="s">
        <v>58</v>
      </c>
      <c r="F69" s="31" t="n">
        <v>508</v>
      </c>
      <c r="G69" s="31" t="n">
        <v>370</v>
      </c>
      <c r="H69" s="18" t="n">
        <v>84</v>
      </c>
      <c r="I69" s="32" t="n">
        <v>0</v>
      </c>
      <c r="J69" s="32" t="n">
        <v>0</v>
      </c>
      <c r="K69" s="32" t="n">
        <v>54</v>
      </c>
      <c r="L69" s="31" t="n">
        <f aca="false">H69+I69+J69+K69</f>
        <v>138</v>
      </c>
      <c r="M69" s="32" t="n">
        <v>2</v>
      </c>
      <c r="N69" s="33" t="n">
        <f aca="false">L69+M69</f>
        <v>140</v>
      </c>
      <c r="O69" s="34" t="n">
        <v>3</v>
      </c>
    </row>
    <row r="70" customFormat="false" ht="15" hidden="false" customHeight="true" outlineLevel="0" collapsed="false">
      <c r="A70" s="30" t="s">
        <v>124</v>
      </c>
      <c r="B70" s="30" t="s">
        <v>32</v>
      </c>
      <c r="C70" s="18" t="n">
        <v>0</v>
      </c>
      <c r="D70" s="18" t="s">
        <v>53</v>
      </c>
      <c r="E70" s="18" t="s">
        <v>58</v>
      </c>
      <c r="F70" s="31" t="n">
        <v>508</v>
      </c>
      <c r="G70" s="31" t="n">
        <v>382</v>
      </c>
      <c r="H70" s="18" t="n">
        <v>72</v>
      </c>
      <c r="I70" s="32" t="n">
        <v>0</v>
      </c>
      <c r="J70" s="32" t="n">
        <v>0</v>
      </c>
      <c r="K70" s="32" t="n">
        <v>54</v>
      </c>
      <c r="L70" s="31" t="n">
        <f aca="false">H70+I70+J70+K70</f>
        <v>126</v>
      </c>
      <c r="M70" s="32" t="n">
        <v>0</v>
      </c>
      <c r="N70" s="33" t="n">
        <f aca="false">L70+M70</f>
        <v>126</v>
      </c>
      <c r="O70" s="34" t="n">
        <v>2</v>
      </c>
    </row>
    <row r="71" customFormat="false" ht="15" hidden="false" customHeight="true" outlineLevel="0" collapsed="false">
      <c r="A71" s="30" t="s">
        <v>125</v>
      </c>
      <c r="B71" s="30" t="s">
        <v>32</v>
      </c>
      <c r="C71" s="18" t="n">
        <v>1</v>
      </c>
      <c r="D71" s="18" t="s">
        <v>53</v>
      </c>
      <c r="E71" s="18" t="s">
        <v>58</v>
      </c>
      <c r="F71" s="31" t="n">
        <v>502</v>
      </c>
      <c r="G71" s="31" t="n">
        <v>363</v>
      </c>
      <c r="H71" s="18" t="n">
        <v>85</v>
      </c>
      <c r="I71" s="32" t="n">
        <v>0</v>
      </c>
      <c r="J71" s="32" t="n">
        <v>0</v>
      </c>
      <c r="K71" s="32" t="n">
        <v>54</v>
      </c>
      <c r="L71" s="31" t="n">
        <f aca="false">H71+I71+J71+K71</f>
        <v>139</v>
      </c>
      <c r="M71" s="32" t="n">
        <v>4</v>
      </c>
      <c r="N71" s="33" t="n">
        <f aca="false">L71+M71</f>
        <v>143</v>
      </c>
      <c r="O71" s="34" t="n">
        <v>4</v>
      </c>
    </row>
    <row r="72" customFormat="false" ht="15" hidden="false" customHeight="true" outlineLevel="0" collapsed="false">
      <c r="A72" s="30" t="s">
        <v>126</v>
      </c>
      <c r="B72" s="30" t="s">
        <v>32</v>
      </c>
      <c r="C72" s="18" t="n">
        <v>1</v>
      </c>
      <c r="D72" s="18" t="s">
        <v>53</v>
      </c>
      <c r="E72" s="18" t="s">
        <v>58</v>
      </c>
      <c r="F72" s="31" t="n">
        <v>502</v>
      </c>
      <c r="G72" s="31" t="n">
        <v>309</v>
      </c>
      <c r="H72" s="18" t="n">
        <v>139</v>
      </c>
      <c r="I72" s="32" t="n">
        <v>0</v>
      </c>
      <c r="J72" s="32" t="n">
        <v>0</v>
      </c>
      <c r="K72" s="32" t="n">
        <v>54</v>
      </c>
      <c r="L72" s="31" t="n">
        <f aca="false">H72+I72+J72+K72</f>
        <v>193</v>
      </c>
      <c r="M72" s="32" t="n">
        <v>0</v>
      </c>
      <c r="N72" s="33" t="n">
        <f aca="false">L72+M72</f>
        <v>193</v>
      </c>
      <c r="O72" s="34" t="n">
        <v>2</v>
      </c>
    </row>
    <row r="73" customFormat="false" ht="15" hidden="false" customHeight="true" outlineLevel="0" collapsed="false">
      <c r="A73" s="30" t="s">
        <v>127</v>
      </c>
      <c r="B73" s="30" t="s">
        <v>32</v>
      </c>
      <c r="C73" s="18" t="n">
        <v>1</v>
      </c>
      <c r="D73" s="18" t="s">
        <v>53</v>
      </c>
      <c r="E73" s="18" t="s">
        <v>58</v>
      </c>
      <c r="F73" s="31" t="n">
        <v>502</v>
      </c>
      <c r="G73" s="31" t="n">
        <v>323</v>
      </c>
      <c r="H73" s="18" t="n">
        <v>125</v>
      </c>
      <c r="I73" s="32" t="n">
        <v>0</v>
      </c>
      <c r="J73" s="32" t="n">
        <v>0</v>
      </c>
      <c r="K73" s="32" t="n">
        <v>54</v>
      </c>
      <c r="L73" s="31" t="n">
        <f aca="false">H73+I73+J73+K73</f>
        <v>179</v>
      </c>
      <c r="M73" s="32" t="n">
        <v>4</v>
      </c>
      <c r="N73" s="33" t="n">
        <f aca="false">L73+M73</f>
        <v>183</v>
      </c>
      <c r="O73" s="34" t="n">
        <v>11</v>
      </c>
    </row>
    <row r="74" customFormat="false" ht="15" hidden="false" customHeight="true" outlineLevel="0" collapsed="false">
      <c r="A74" s="30" t="s">
        <v>128</v>
      </c>
      <c r="B74" s="30" t="s">
        <v>32</v>
      </c>
      <c r="C74" s="18" t="n">
        <v>1</v>
      </c>
      <c r="D74" s="18" t="s">
        <v>53</v>
      </c>
      <c r="E74" s="18" t="s">
        <v>58</v>
      </c>
      <c r="F74" s="31" t="n">
        <v>502</v>
      </c>
      <c r="G74" s="31" t="n">
        <v>381</v>
      </c>
      <c r="H74" s="18" t="n">
        <v>67</v>
      </c>
      <c r="I74" s="32" t="n">
        <v>0</v>
      </c>
      <c r="J74" s="32" t="n">
        <v>0</v>
      </c>
      <c r="K74" s="32" t="n">
        <v>54</v>
      </c>
      <c r="L74" s="31" t="n">
        <f aca="false">H74+I74+J74+K74</f>
        <v>121</v>
      </c>
      <c r="M74" s="32" t="n">
        <v>1</v>
      </c>
      <c r="N74" s="33" t="n">
        <f aca="false">L74+M74</f>
        <v>122</v>
      </c>
      <c r="O74" s="34" t="n">
        <v>7</v>
      </c>
    </row>
    <row r="75" customFormat="false" ht="15" hidden="false" customHeight="true" outlineLevel="0" collapsed="false">
      <c r="A75" s="30" t="s">
        <v>129</v>
      </c>
      <c r="B75" s="30" t="s">
        <v>32</v>
      </c>
      <c r="C75" s="18" t="n">
        <v>1</v>
      </c>
      <c r="D75" s="18" t="s">
        <v>53</v>
      </c>
      <c r="E75" s="18" t="s">
        <v>58</v>
      </c>
      <c r="F75" s="31" t="n">
        <v>502</v>
      </c>
      <c r="G75" s="31" t="n">
        <v>341</v>
      </c>
      <c r="H75" s="18" t="n">
        <v>107</v>
      </c>
      <c r="I75" s="32" t="n">
        <v>0</v>
      </c>
      <c r="J75" s="32" t="n">
        <v>0</v>
      </c>
      <c r="K75" s="32" t="n">
        <v>54</v>
      </c>
      <c r="L75" s="31" t="n">
        <f aca="false">H75+I75+J75+K75</f>
        <v>161</v>
      </c>
      <c r="M75" s="32" t="n">
        <v>0</v>
      </c>
      <c r="N75" s="33" t="n">
        <f aca="false">L75+M75</f>
        <v>161</v>
      </c>
      <c r="O75" s="34" t="n">
        <v>5</v>
      </c>
    </row>
    <row r="76" customFormat="false" ht="15" hidden="false" customHeight="true" outlineLevel="0" collapsed="false">
      <c r="A76" s="30" t="s">
        <v>130</v>
      </c>
      <c r="B76" s="30" t="s">
        <v>32</v>
      </c>
      <c r="C76" s="18" t="n">
        <v>1</v>
      </c>
      <c r="D76" s="18" t="s">
        <v>53</v>
      </c>
      <c r="E76" s="18" t="s">
        <v>58</v>
      </c>
      <c r="F76" s="31" t="n">
        <v>502</v>
      </c>
      <c r="G76" s="31" t="n">
        <v>371</v>
      </c>
      <c r="H76" s="18" t="n">
        <v>77</v>
      </c>
      <c r="I76" s="32" t="n">
        <v>0</v>
      </c>
      <c r="J76" s="32" t="n">
        <v>0</v>
      </c>
      <c r="K76" s="32" t="n">
        <v>54</v>
      </c>
      <c r="L76" s="31" t="n">
        <f aca="false">H76+I76+J76+K76</f>
        <v>131</v>
      </c>
      <c r="M76" s="32" t="n">
        <v>0</v>
      </c>
      <c r="N76" s="33" t="n">
        <f aca="false">L76+M76</f>
        <v>131</v>
      </c>
      <c r="O76" s="34" t="n">
        <v>1</v>
      </c>
    </row>
    <row r="77" customFormat="false" ht="15" hidden="false" customHeight="true" outlineLevel="0" collapsed="false">
      <c r="A77" s="30" t="s">
        <v>131</v>
      </c>
      <c r="B77" s="30" t="s">
        <v>32</v>
      </c>
      <c r="C77" s="18" t="n">
        <v>1</v>
      </c>
      <c r="D77" s="18" t="s">
        <v>53</v>
      </c>
      <c r="E77" s="18" t="s">
        <v>58</v>
      </c>
      <c r="F77" s="31" t="n">
        <v>502</v>
      </c>
      <c r="G77" s="31" t="n">
        <v>392</v>
      </c>
      <c r="H77" s="18" t="n">
        <v>56</v>
      </c>
      <c r="I77" s="32" t="n">
        <v>0</v>
      </c>
      <c r="J77" s="32" t="n">
        <v>0</v>
      </c>
      <c r="K77" s="32" t="n">
        <v>54</v>
      </c>
      <c r="L77" s="31" t="n">
        <f aca="false">H77+I77+J77+K77</f>
        <v>110</v>
      </c>
      <c r="M77" s="32" t="n">
        <v>3</v>
      </c>
      <c r="N77" s="33" t="n">
        <f aca="false">L77+M77</f>
        <v>113</v>
      </c>
      <c r="O77" s="34" t="n">
        <v>3</v>
      </c>
    </row>
    <row r="78" customFormat="false" ht="15" hidden="false" customHeight="true" outlineLevel="0" collapsed="false">
      <c r="A78" s="30" t="s">
        <v>132</v>
      </c>
      <c r="B78" s="30" t="s">
        <v>32</v>
      </c>
      <c r="C78" s="18" t="n">
        <v>1</v>
      </c>
      <c r="D78" s="18" t="s">
        <v>53</v>
      </c>
      <c r="E78" s="18" t="s">
        <v>58</v>
      </c>
      <c r="F78" s="31" t="n">
        <v>502</v>
      </c>
      <c r="G78" s="31" t="n">
        <v>364</v>
      </c>
      <c r="H78" s="18" t="n">
        <v>84</v>
      </c>
      <c r="I78" s="32" t="n">
        <v>0</v>
      </c>
      <c r="J78" s="32" t="n">
        <v>0</v>
      </c>
      <c r="K78" s="32" t="n">
        <v>54</v>
      </c>
      <c r="L78" s="31" t="n">
        <f aca="false">H78+I78+J78+K78</f>
        <v>138</v>
      </c>
      <c r="M78" s="32" t="n">
        <v>4</v>
      </c>
      <c r="N78" s="33" t="n">
        <f aca="false">L78+M78</f>
        <v>142</v>
      </c>
      <c r="O78" s="34" t="n">
        <v>1</v>
      </c>
    </row>
    <row r="79" customFormat="false" ht="15" hidden="false" customHeight="true" outlineLevel="0" collapsed="false">
      <c r="A79" s="30" t="s">
        <v>133</v>
      </c>
      <c r="B79" s="30" t="s">
        <v>32</v>
      </c>
      <c r="C79" s="18" t="n">
        <v>1</v>
      </c>
      <c r="D79" s="18" t="s">
        <v>53</v>
      </c>
      <c r="E79" s="18" t="s">
        <v>58</v>
      </c>
      <c r="F79" s="31" t="n">
        <v>502</v>
      </c>
      <c r="G79" s="31" t="n">
        <v>375</v>
      </c>
      <c r="H79" s="18" t="n">
        <v>73</v>
      </c>
      <c r="I79" s="32" t="n">
        <v>0</v>
      </c>
      <c r="J79" s="32" t="n">
        <v>0</v>
      </c>
      <c r="K79" s="32" t="n">
        <v>54</v>
      </c>
      <c r="L79" s="31" t="n">
        <f aca="false">H79+I79+J79+K79</f>
        <v>127</v>
      </c>
      <c r="M79" s="32" t="n">
        <v>1</v>
      </c>
      <c r="N79" s="33" t="n">
        <f aca="false">L79+M79</f>
        <v>128</v>
      </c>
      <c r="O79" s="34" t="n">
        <v>1</v>
      </c>
    </row>
    <row r="80" customFormat="false" ht="15" hidden="false" customHeight="true" outlineLevel="0" collapsed="false">
      <c r="A80" s="30" t="s">
        <v>134</v>
      </c>
      <c r="B80" s="30" t="s">
        <v>32</v>
      </c>
      <c r="C80" s="18" t="n">
        <v>1</v>
      </c>
      <c r="D80" s="18" t="s">
        <v>53</v>
      </c>
      <c r="E80" s="18" t="s">
        <v>58</v>
      </c>
      <c r="F80" s="31" t="n">
        <v>502</v>
      </c>
      <c r="G80" s="31" t="n">
        <v>385</v>
      </c>
      <c r="H80" s="18" t="n">
        <v>63</v>
      </c>
      <c r="I80" s="32" t="n">
        <v>0</v>
      </c>
      <c r="J80" s="32" t="n">
        <v>0</v>
      </c>
      <c r="K80" s="32" t="n">
        <v>54</v>
      </c>
      <c r="L80" s="31" t="n">
        <f aca="false">H80+I80+J80+K80</f>
        <v>117</v>
      </c>
      <c r="M80" s="32" t="n">
        <v>0</v>
      </c>
      <c r="N80" s="33" t="n">
        <f aca="false">L80+M80</f>
        <v>117</v>
      </c>
      <c r="O80" s="34" t="n">
        <v>9</v>
      </c>
    </row>
    <row r="81" customFormat="false" ht="15" hidden="false" customHeight="true" outlineLevel="0" collapsed="false">
      <c r="A81" s="30" t="s">
        <v>135</v>
      </c>
      <c r="B81" s="30" t="s">
        <v>32</v>
      </c>
      <c r="C81" s="18" t="n">
        <v>1</v>
      </c>
      <c r="D81" s="18" t="s">
        <v>53</v>
      </c>
      <c r="E81" s="18" t="s">
        <v>58</v>
      </c>
      <c r="F81" s="31" t="n">
        <v>502</v>
      </c>
      <c r="G81" s="31" t="n">
        <v>370</v>
      </c>
      <c r="H81" s="18" t="n">
        <v>78</v>
      </c>
      <c r="I81" s="32" t="n">
        <v>0</v>
      </c>
      <c r="J81" s="32" t="n">
        <v>0</v>
      </c>
      <c r="K81" s="32" t="n">
        <v>54</v>
      </c>
      <c r="L81" s="31" t="n">
        <f aca="false">H81+I81+J81+K81</f>
        <v>132</v>
      </c>
      <c r="M81" s="32" t="n">
        <v>1</v>
      </c>
      <c r="N81" s="33" t="n">
        <f aca="false">L81+M81</f>
        <v>133</v>
      </c>
      <c r="O81" s="34" t="n">
        <v>12</v>
      </c>
    </row>
    <row r="82" customFormat="false" ht="15" hidden="false" customHeight="true" outlineLevel="0" collapsed="false">
      <c r="A82" s="30" t="s">
        <v>136</v>
      </c>
      <c r="B82" s="30" t="s">
        <v>32</v>
      </c>
      <c r="C82" s="18" t="n">
        <v>1</v>
      </c>
      <c r="D82" s="18" t="s">
        <v>53</v>
      </c>
      <c r="E82" s="18" t="s">
        <v>58</v>
      </c>
      <c r="F82" s="31" t="n">
        <v>502</v>
      </c>
      <c r="G82" s="31" t="n">
        <v>490</v>
      </c>
      <c r="H82" s="18" t="n">
        <v>0</v>
      </c>
      <c r="I82" s="32" t="n">
        <v>12</v>
      </c>
      <c r="J82" s="32" t="n">
        <v>0</v>
      </c>
      <c r="K82" s="32" t="n">
        <v>0</v>
      </c>
      <c r="L82" s="31" t="n">
        <f aca="false">H82+I82+J82+K82</f>
        <v>12</v>
      </c>
      <c r="M82" s="32" t="n">
        <v>0</v>
      </c>
      <c r="N82" s="33" t="n">
        <f aca="false">L82+M82</f>
        <v>12</v>
      </c>
      <c r="O82" s="34" t="n">
        <v>3</v>
      </c>
    </row>
    <row r="83" customFormat="false" ht="15" hidden="false" customHeight="true" outlineLevel="0" collapsed="false">
      <c r="A83" s="30" t="s">
        <v>137</v>
      </c>
      <c r="B83" s="30" t="s">
        <v>32</v>
      </c>
      <c r="C83" s="18" t="n">
        <v>1</v>
      </c>
      <c r="D83" s="18" t="s">
        <v>53</v>
      </c>
      <c r="E83" s="18" t="s">
        <v>58</v>
      </c>
      <c r="F83" s="31" t="n">
        <v>502</v>
      </c>
      <c r="G83" s="31" t="n">
        <v>480</v>
      </c>
      <c r="H83" s="18" t="n">
        <v>0</v>
      </c>
      <c r="I83" s="32" t="n">
        <v>22</v>
      </c>
      <c r="J83" s="32" t="n">
        <v>0</v>
      </c>
      <c r="K83" s="32" t="n">
        <v>0</v>
      </c>
      <c r="L83" s="31" t="n">
        <f aca="false">H83+I83+J83+K83</f>
        <v>22</v>
      </c>
      <c r="M83" s="32" t="n">
        <v>0</v>
      </c>
      <c r="N83" s="33" t="n">
        <f aca="false">L83+M83</f>
        <v>22</v>
      </c>
      <c r="O83" s="34" t="n">
        <v>7</v>
      </c>
    </row>
    <row r="84" customFormat="false" ht="15" hidden="false" customHeight="true" outlineLevel="0" collapsed="false">
      <c r="A84" s="30" t="s">
        <v>138</v>
      </c>
      <c r="B84" s="30" t="s">
        <v>32</v>
      </c>
      <c r="C84" s="18" t="n">
        <v>1</v>
      </c>
      <c r="D84" s="18" t="s">
        <v>53</v>
      </c>
      <c r="E84" s="18" t="s">
        <v>58</v>
      </c>
      <c r="F84" s="31" t="n">
        <v>502</v>
      </c>
      <c r="G84" s="31" t="n">
        <v>498</v>
      </c>
      <c r="H84" s="18" t="n">
        <v>3</v>
      </c>
      <c r="I84" s="32" t="n">
        <v>1</v>
      </c>
      <c r="J84" s="32" t="n">
        <v>0</v>
      </c>
      <c r="K84" s="32" t="n">
        <v>0</v>
      </c>
      <c r="L84" s="31" t="n">
        <f aca="false">H84+I84+J84+K84</f>
        <v>4</v>
      </c>
      <c r="M84" s="32" t="n">
        <v>0</v>
      </c>
      <c r="N84" s="33" t="n">
        <f aca="false">L84+M84</f>
        <v>4</v>
      </c>
      <c r="O84" s="34" t="n">
        <v>4</v>
      </c>
    </row>
    <row r="85" customFormat="false" ht="15" hidden="false" customHeight="true" outlineLevel="0" collapsed="false">
      <c r="A85" s="30" t="s">
        <v>139</v>
      </c>
      <c r="B85" s="30" t="s">
        <v>32</v>
      </c>
      <c r="C85" s="18" t="n">
        <v>2</v>
      </c>
      <c r="D85" s="18" t="s">
        <v>53</v>
      </c>
      <c r="E85" s="18" t="s">
        <v>58</v>
      </c>
      <c r="F85" s="31" t="n">
        <v>502</v>
      </c>
      <c r="G85" s="31" t="n">
        <v>486</v>
      </c>
      <c r="H85" s="18" t="n">
        <v>8</v>
      </c>
      <c r="I85" s="32" t="n">
        <v>8</v>
      </c>
      <c r="J85" s="32" t="n">
        <v>0</v>
      </c>
      <c r="K85" s="32" t="n">
        <v>0</v>
      </c>
      <c r="L85" s="31" t="n">
        <f aca="false">H85+I85+J85+K85</f>
        <v>16</v>
      </c>
      <c r="M85" s="32" t="n">
        <v>0</v>
      </c>
      <c r="N85" s="33" t="n">
        <f aca="false">L85+M85</f>
        <v>16</v>
      </c>
      <c r="O85" s="34" t="n">
        <v>11</v>
      </c>
    </row>
    <row r="86" customFormat="false" ht="15" hidden="false" customHeight="true" outlineLevel="0" collapsed="false">
      <c r="A86" s="30" t="s">
        <v>140</v>
      </c>
      <c r="B86" s="30" t="s">
        <v>32</v>
      </c>
      <c r="C86" s="18" t="n">
        <v>2</v>
      </c>
      <c r="D86" s="18" t="s">
        <v>53</v>
      </c>
      <c r="E86" s="18" t="s">
        <v>58</v>
      </c>
      <c r="F86" s="31" t="n">
        <v>502</v>
      </c>
      <c r="G86" s="31" t="n">
        <v>491</v>
      </c>
      <c r="H86" s="18" t="n">
        <v>6</v>
      </c>
      <c r="I86" s="32" t="n">
        <v>5</v>
      </c>
      <c r="J86" s="32" t="n">
        <v>0</v>
      </c>
      <c r="K86" s="32" t="n">
        <v>0</v>
      </c>
      <c r="L86" s="31" t="n">
        <f aca="false">H86+I86+J86+K86</f>
        <v>11</v>
      </c>
      <c r="M86" s="32" t="n">
        <v>0</v>
      </c>
      <c r="N86" s="33" t="n">
        <f aca="false">L86+M86</f>
        <v>11</v>
      </c>
      <c r="O86" s="34" t="n">
        <v>8</v>
      </c>
    </row>
    <row r="87" customFormat="false" ht="15" hidden="false" customHeight="true" outlineLevel="0" collapsed="false">
      <c r="A87" s="30" t="s">
        <v>141</v>
      </c>
      <c r="B87" s="30" t="s">
        <v>32</v>
      </c>
      <c r="C87" s="18" t="n">
        <v>2</v>
      </c>
      <c r="D87" s="18" t="s">
        <v>53</v>
      </c>
      <c r="E87" s="18" t="s">
        <v>58</v>
      </c>
      <c r="F87" s="31" t="n">
        <v>502</v>
      </c>
      <c r="G87" s="31" t="n">
        <v>495</v>
      </c>
      <c r="H87" s="18" t="n">
        <v>2</v>
      </c>
      <c r="I87" s="32" t="n">
        <v>5</v>
      </c>
      <c r="J87" s="32" t="n">
        <v>0</v>
      </c>
      <c r="K87" s="32" t="n">
        <v>0</v>
      </c>
      <c r="L87" s="31" t="n">
        <f aca="false">H87+I87+J87+K87</f>
        <v>7</v>
      </c>
      <c r="M87" s="32" t="n">
        <v>0</v>
      </c>
      <c r="N87" s="33" t="n">
        <f aca="false">L87+M87</f>
        <v>7</v>
      </c>
      <c r="O87" s="34" t="n">
        <v>3</v>
      </c>
    </row>
    <row r="88" customFormat="false" ht="15" hidden="false" customHeight="true" outlineLevel="0" collapsed="false">
      <c r="A88" s="30" t="s">
        <v>142</v>
      </c>
      <c r="B88" s="30" t="s">
        <v>32</v>
      </c>
      <c r="C88" s="18" t="n">
        <v>2</v>
      </c>
      <c r="D88" s="18" t="s">
        <v>53</v>
      </c>
      <c r="E88" s="18" t="s">
        <v>58</v>
      </c>
      <c r="F88" s="31" t="n">
        <v>502</v>
      </c>
      <c r="G88" s="31" t="n">
        <v>489</v>
      </c>
      <c r="H88" s="18" t="n">
        <v>2</v>
      </c>
      <c r="I88" s="32" t="n">
        <v>11</v>
      </c>
      <c r="J88" s="32" t="n">
        <v>0</v>
      </c>
      <c r="K88" s="32" t="n">
        <v>0</v>
      </c>
      <c r="L88" s="31" t="n">
        <f aca="false">H88+I88+J88+K88</f>
        <v>13</v>
      </c>
      <c r="M88" s="32" t="n">
        <v>0</v>
      </c>
      <c r="N88" s="33" t="n">
        <f aca="false">L88+M88</f>
        <v>13</v>
      </c>
      <c r="O88" s="34" t="n">
        <v>7</v>
      </c>
    </row>
    <row r="89" customFormat="false" ht="15" hidden="false" customHeight="true" outlineLevel="0" collapsed="false">
      <c r="A89" s="30" t="s">
        <v>143</v>
      </c>
      <c r="B89" s="30" t="s">
        <v>32</v>
      </c>
      <c r="C89" s="18" t="n">
        <v>2</v>
      </c>
      <c r="D89" s="18" t="s">
        <v>53</v>
      </c>
      <c r="E89" s="18" t="s">
        <v>54</v>
      </c>
      <c r="F89" s="31" t="n">
        <v>502</v>
      </c>
      <c r="G89" s="31" t="n">
        <v>475</v>
      </c>
      <c r="H89" s="18" t="n">
        <v>13</v>
      </c>
      <c r="I89" s="32" t="n">
        <v>14</v>
      </c>
      <c r="J89" s="32" t="n">
        <v>0</v>
      </c>
      <c r="K89" s="32" t="n">
        <v>0</v>
      </c>
      <c r="L89" s="31" t="n">
        <f aca="false">H89+I89+J89+K89</f>
        <v>27</v>
      </c>
      <c r="M89" s="32" t="n">
        <v>0</v>
      </c>
      <c r="N89" s="33" t="n">
        <f aca="false">L89+M89</f>
        <v>27</v>
      </c>
      <c r="O89" s="34" t="n">
        <v>24</v>
      </c>
    </row>
    <row r="90" customFormat="false" ht="15" hidden="false" customHeight="true" outlineLevel="0" collapsed="false">
      <c r="A90" s="30" t="s">
        <v>144</v>
      </c>
      <c r="B90" s="30" t="s">
        <v>32</v>
      </c>
      <c r="C90" s="18" t="n">
        <v>2</v>
      </c>
      <c r="D90" s="18" t="s">
        <v>53</v>
      </c>
      <c r="E90" s="18" t="s">
        <v>54</v>
      </c>
      <c r="F90" s="31" t="n">
        <v>502</v>
      </c>
      <c r="G90" s="31" t="n">
        <v>436</v>
      </c>
      <c r="H90" s="18" t="n">
        <v>41</v>
      </c>
      <c r="I90" s="32" t="n">
        <v>25</v>
      </c>
      <c r="J90" s="32" t="n">
        <v>0</v>
      </c>
      <c r="K90" s="32" t="n">
        <v>0</v>
      </c>
      <c r="L90" s="31" t="n">
        <f aca="false">H90+I90+J90+K90</f>
        <v>66</v>
      </c>
      <c r="M90" s="32" t="n">
        <v>0</v>
      </c>
      <c r="N90" s="33" t="n">
        <f aca="false">L90+M90</f>
        <v>66</v>
      </c>
      <c r="O90" s="34" t="n">
        <v>65</v>
      </c>
    </row>
    <row r="91" customFormat="false" ht="15" hidden="false" customHeight="true" outlineLevel="0" collapsed="false">
      <c r="A91" s="30" t="s">
        <v>145</v>
      </c>
      <c r="B91" s="30" t="s">
        <v>32</v>
      </c>
      <c r="C91" s="18" t="n">
        <v>2</v>
      </c>
      <c r="D91" s="18" t="s">
        <v>53</v>
      </c>
      <c r="E91" s="18" t="s">
        <v>58</v>
      </c>
      <c r="F91" s="31" t="n">
        <v>502</v>
      </c>
      <c r="G91" s="31" t="n">
        <v>492</v>
      </c>
      <c r="H91" s="18" t="n">
        <v>5</v>
      </c>
      <c r="I91" s="32" t="n">
        <v>5</v>
      </c>
      <c r="J91" s="32" t="n">
        <v>0</v>
      </c>
      <c r="K91" s="32" t="n">
        <v>0</v>
      </c>
      <c r="L91" s="31" t="n">
        <f aca="false">H91+I91+J91+K91</f>
        <v>10</v>
      </c>
      <c r="M91" s="32" t="n">
        <v>0</v>
      </c>
      <c r="N91" s="33" t="n">
        <f aca="false">L91+M91</f>
        <v>10</v>
      </c>
      <c r="O91" s="34" t="n">
        <v>6</v>
      </c>
    </row>
    <row r="92" customFormat="false" ht="15" hidden="false" customHeight="true" outlineLevel="0" collapsed="false">
      <c r="A92" s="30" t="s">
        <v>146</v>
      </c>
      <c r="B92" s="30" t="s">
        <v>32</v>
      </c>
      <c r="C92" s="18" t="n">
        <v>2</v>
      </c>
      <c r="D92" s="18" t="s">
        <v>53</v>
      </c>
      <c r="E92" s="18" t="s">
        <v>58</v>
      </c>
      <c r="F92" s="31" t="n">
        <v>502</v>
      </c>
      <c r="G92" s="31" t="n">
        <v>496</v>
      </c>
      <c r="H92" s="18" t="n">
        <v>1</v>
      </c>
      <c r="I92" s="32" t="n">
        <v>5</v>
      </c>
      <c r="J92" s="32" t="n">
        <v>0</v>
      </c>
      <c r="K92" s="32" t="n">
        <v>0</v>
      </c>
      <c r="L92" s="31" t="n">
        <f aca="false">H92+I92+J92+K92</f>
        <v>6</v>
      </c>
      <c r="M92" s="32" t="n">
        <v>0</v>
      </c>
      <c r="N92" s="33" t="n">
        <f aca="false">L92+M92</f>
        <v>6</v>
      </c>
      <c r="O92" s="34" t="n">
        <v>2</v>
      </c>
    </row>
    <row r="93" customFormat="false" ht="15" hidden="false" customHeight="true" outlineLevel="0" collapsed="false">
      <c r="A93" s="30" t="s">
        <v>147</v>
      </c>
      <c r="B93" s="30" t="s">
        <v>32</v>
      </c>
      <c r="C93" s="18" t="n">
        <v>2</v>
      </c>
      <c r="D93" s="18" t="s">
        <v>53</v>
      </c>
      <c r="E93" s="18" t="s">
        <v>58</v>
      </c>
      <c r="F93" s="31" t="n">
        <v>502</v>
      </c>
      <c r="G93" s="31" t="n">
        <v>491</v>
      </c>
      <c r="H93" s="18" t="n">
        <v>4</v>
      </c>
      <c r="I93" s="32" t="n">
        <v>7</v>
      </c>
      <c r="J93" s="32" t="n">
        <v>0</v>
      </c>
      <c r="K93" s="32" t="n">
        <v>0</v>
      </c>
      <c r="L93" s="31" t="n">
        <f aca="false">H93+I93+J93+K93</f>
        <v>11</v>
      </c>
      <c r="M93" s="32" t="n">
        <v>0</v>
      </c>
      <c r="N93" s="33" t="n">
        <f aca="false">L93+M93</f>
        <v>11</v>
      </c>
      <c r="O93" s="34" t="n">
        <v>7</v>
      </c>
    </row>
    <row r="94" customFormat="false" ht="15" hidden="false" customHeight="true" outlineLevel="0" collapsed="false">
      <c r="A94" s="30" t="s">
        <v>148</v>
      </c>
      <c r="B94" s="30" t="s">
        <v>32</v>
      </c>
      <c r="C94" s="18" t="n">
        <v>2</v>
      </c>
      <c r="D94" s="18" t="s">
        <v>53</v>
      </c>
      <c r="E94" s="18" t="s">
        <v>58</v>
      </c>
      <c r="F94" s="31" t="n">
        <v>502</v>
      </c>
      <c r="G94" s="31" t="n">
        <v>497</v>
      </c>
      <c r="H94" s="18" t="n">
        <v>1</v>
      </c>
      <c r="I94" s="32" t="n">
        <v>4</v>
      </c>
      <c r="J94" s="32" t="n">
        <v>0</v>
      </c>
      <c r="K94" s="32" t="n">
        <v>0</v>
      </c>
      <c r="L94" s="31" t="n">
        <f aca="false">H94+I94+J94+K94</f>
        <v>5</v>
      </c>
      <c r="M94" s="32" t="n">
        <v>0</v>
      </c>
      <c r="N94" s="33" t="n">
        <f aca="false">L94+M94</f>
        <v>5</v>
      </c>
      <c r="O94" s="34" t="n">
        <v>1</v>
      </c>
    </row>
    <row r="95" customFormat="false" ht="15" hidden="false" customHeight="true" outlineLevel="0" collapsed="false">
      <c r="A95" s="30" t="s">
        <v>149</v>
      </c>
      <c r="B95" s="30" t="s">
        <v>32</v>
      </c>
      <c r="C95" s="18" t="n">
        <v>2</v>
      </c>
      <c r="D95" s="18" t="s">
        <v>53</v>
      </c>
      <c r="E95" s="18" t="s">
        <v>58</v>
      </c>
      <c r="F95" s="31" t="n">
        <v>502</v>
      </c>
      <c r="G95" s="31" t="n">
        <v>495</v>
      </c>
      <c r="H95" s="18" t="n">
        <v>1</v>
      </c>
      <c r="I95" s="32" t="n">
        <v>6</v>
      </c>
      <c r="J95" s="32" t="n">
        <v>0</v>
      </c>
      <c r="K95" s="32" t="n">
        <v>0</v>
      </c>
      <c r="L95" s="31" t="n">
        <f aca="false">H95+I95+J95+K95</f>
        <v>7</v>
      </c>
      <c r="M95" s="32" t="n">
        <v>0</v>
      </c>
      <c r="N95" s="33" t="n">
        <f aca="false">L95+M95</f>
        <v>7</v>
      </c>
      <c r="O95" s="34" t="n">
        <v>3</v>
      </c>
    </row>
    <row r="96" customFormat="false" ht="15" hidden="false" customHeight="true" outlineLevel="0" collapsed="false">
      <c r="A96" s="30" t="s">
        <v>150</v>
      </c>
      <c r="B96" s="30" t="s">
        <v>32</v>
      </c>
      <c r="C96" s="18" t="n">
        <v>2</v>
      </c>
      <c r="D96" s="18" t="s">
        <v>53</v>
      </c>
      <c r="E96" s="18" t="s">
        <v>58</v>
      </c>
      <c r="F96" s="31" t="n">
        <v>502</v>
      </c>
      <c r="G96" s="31" t="n">
        <v>498</v>
      </c>
      <c r="H96" s="18" t="n">
        <v>0</v>
      </c>
      <c r="I96" s="32" t="n">
        <v>4</v>
      </c>
      <c r="J96" s="32" t="n">
        <v>0</v>
      </c>
      <c r="K96" s="32" t="n">
        <v>0</v>
      </c>
      <c r="L96" s="31" t="n">
        <f aca="false">H96+I96+J96+K96</f>
        <v>4</v>
      </c>
      <c r="M96" s="32" t="n">
        <v>0</v>
      </c>
      <c r="N96" s="33" t="n">
        <f aca="false">L96+M96</f>
        <v>4</v>
      </c>
      <c r="O96" s="34" t="n">
        <v>0</v>
      </c>
    </row>
    <row r="97" customFormat="false" ht="15" hidden="false" customHeight="true" outlineLevel="0" collapsed="false">
      <c r="A97" s="30" t="s">
        <v>151</v>
      </c>
      <c r="B97" s="30" t="s">
        <v>32</v>
      </c>
      <c r="C97" s="18" t="n">
        <v>2</v>
      </c>
      <c r="D97" s="18" t="s">
        <v>53</v>
      </c>
      <c r="E97" s="18" t="s">
        <v>58</v>
      </c>
      <c r="F97" s="31" t="n">
        <v>502</v>
      </c>
      <c r="G97" s="31" t="n">
        <v>496</v>
      </c>
      <c r="H97" s="18" t="n">
        <v>1</v>
      </c>
      <c r="I97" s="32" t="n">
        <v>5</v>
      </c>
      <c r="J97" s="32" t="n">
        <v>0</v>
      </c>
      <c r="K97" s="32" t="n">
        <v>0</v>
      </c>
      <c r="L97" s="31" t="n">
        <f aca="false">H97+I97+J97+K97</f>
        <v>6</v>
      </c>
      <c r="M97" s="32" t="n">
        <v>0</v>
      </c>
      <c r="N97" s="33" t="n">
        <f aca="false">L97+M97</f>
        <v>6</v>
      </c>
      <c r="O97" s="34" t="n">
        <v>1</v>
      </c>
    </row>
    <row r="98" customFormat="false" ht="15" hidden="false" customHeight="true" outlineLevel="0" collapsed="false">
      <c r="A98" s="30" t="s">
        <v>152</v>
      </c>
      <c r="B98" s="30" t="s">
        <v>32</v>
      </c>
      <c r="C98" s="18" t="n">
        <v>2</v>
      </c>
      <c r="D98" s="18" t="s">
        <v>53</v>
      </c>
      <c r="E98" s="18" t="s">
        <v>58</v>
      </c>
      <c r="F98" s="31" t="n">
        <v>502</v>
      </c>
      <c r="G98" s="31" t="n">
        <v>496</v>
      </c>
      <c r="H98" s="18" t="n">
        <v>0</v>
      </c>
      <c r="I98" s="32" t="n">
        <v>6</v>
      </c>
      <c r="J98" s="32" t="n">
        <v>0</v>
      </c>
      <c r="K98" s="32" t="n">
        <v>0</v>
      </c>
      <c r="L98" s="31" t="n">
        <f aca="false">H98+I98+J98+K98</f>
        <v>6</v>
      </c>
      <c r="M98" s="32" t="n">
        <v>0</v>
      </c>
      <c r="N98" s="33" t="n">
        <f aca="false">L98+M98</f>
        <v>6</v>
      </c>
      <c r="O98" s="34" t="n">
        <v>2</v>
      </c>
    </row>
    <row r="99" customFormat="false" ht="15" hidden="false" customHeight="true" outlineLevel="0" collapsed="false">
      <c r="A99" s="30" t="s">
        <v>153</v>
      </c>
      <c r="B99" s="30" t="s">
        <v>33</v>
      </c>
      <c r="C99" s="18" t="n">
        <v>0</v>
      </c>
      <c r="D99" s="18" t="s">
        <v>63</v>
      </c>
      <c r="E99" s="18" t="s">
        <v>54</v>
      </c>
      <c r="F99" s="31" t="n">
        <v>508</v>
      </c>
      <c r="G99" s="31" t="n">
        <v>450</v>
      </c>
      <c r="H99" s="18" t="n">
        <v>11</v>
      </c>
      <c r="I99" s="32" t="n">
        <v>0</v>
      </c>
      <c r="J99" s="32" t="n">
        <v>0</v>
      </c>
      <c r="K99" s="32" t="n">
        <v>47</v>
      </c>
      <c r="L99" s="31" t="n">
        <f aca="false">H99+I99+J99+K99</f>
        <v>58</v>
      </c>
      <c r="M99" s="32" t="n">
        <v>0</v>
      </c>
      <c r="N99" s="33" t="n">
        <f aca="false">L99+M99</f>
        <v>58</v>
      </c>
      <c r="O99" s="34" t="n">
        <v>0</v>
      </c>
    </row>
    <row r="100" customFormat="false" ht="15" hidden="false" customHeight="true" outlineLevel="0" collapsed="false">
      <c r="A100" s="30" t="s">
        <v>154</v>
      </c>
      <c r="B100" s="30" t="s">
        <v>33</v>
      </c>
      <c r="C100" s="18" t="n">
        <v>0</v>
      </c>
      <c r="D100" s="18" t="s">
        <v>63</v>
      </c>
      <c r="E100" s="18" t="s">
        <v>54</v>
      </c>
      <c r="F100" s="31" t="n">
        <v>508</v>
      </c>
      <c r="G100" s="31" t="n">
        <v>450</v>
      </c>
      <c r="H100" s="18" t="n">
        <v>11</v>
      </c>
      <c r="I100" s="32" t="n">
        <v>0</v>
      </c>
      <c r="J100" s="32" t="n">
        <v>0</v>
      </c>
      <c r="K100" s="32" t="n">
        <v>47</v>
      </c>
      <c r="L100" s="31" t="n">
        <f aca="false">H100+I100+J100+K100</f>
        <v>58</v>
      </c>
      <c r="M100" s="32" t="n">
        <v>0</v>
      </c>
      <c r="N100" s="33" t="n">
        <f aca="false">L100+M100</f>
        <v>58</v>
      </c>
      <c r="O100" s="34" t="n">
        <v>0</v>
      </c>
    </row>
    <row r="101" customFormat="false" ht="15" hidden="false" customHeight="true" outlineLevel="0" collapsed="false">
      <c r="A101" s="30" t="s">
        <v>155</v>
      </c>
      <c r="B101" s="30" t="s">
        <v>33</v>
      </c>
      <c r="C101" s="18" t="n">
        <v>0</v>
      </c>
      <c r="D101" s="18" t="s">
        <v>63</v>
      </c>
      <c r="E101" s="18" t="s">
        <v>54</v>
      </c>
      <c r="F101" s="31" t="n">
        <v>508</v>
      </c>
      <c r="G101" s="31" t="n">
        <v>450</v>
      </c>
      <c r="H101" s="18" t="n">
        <v>11</v>
      </c>
      <c r="I101" s="32" t="n">
        <v>0</v>
      </c>
      <c r="J101" s="32" t="n">
        <v>0</v>
      </c>
      <c r="K101" s="32" t="n">
        <v>47</v>
      </c>
      <c r="L101" s="31" t="n">
        <f aca="false">H101+I101+J101+K101</f>
        <v>58</v>
      </c>
      <c r="M101" s="32" t="n">
        <v>0</v>
      </c>
      <c r="N101" s="33" t="n">
        <f aca="false">L101+M101</f>
        <v>58</v>
      </c>
      <c r="O101" s="34" t="n">
        <v>0</v>
      </c>
    </row>
    <row r="102" customFormat="false" ht="15" hidden="false" customHeight="true" outlineLevel="0" collapsed="false">
      <c r="A102" s="30" t="s">
        <v>156</v>
      </c>
      <c r="B102" s="30" t="s">
        <v>33</v>
      </c>
      <c r="C102" s="18" t="n">
        <v>0</v>
      </c>
      <c r="D102" s="18" t="s">
        <v>63</v>
      </c>
      <c r="E102" s="18" t="s">
        <v>54</v>
      </c>
      <c r="F102" s="31" t="n">
        <v>508</v>
      </c>
      <c r="G102" s="31" t="n">
        <v>449</v>
      </c>
      <c r="H102" s="18" t="n">
        <v>8</v>
      </c>
      <c r="I102" s="32" t="n">
        <v>0</v>
      </c>
      <c r="J102" s="32" t="n">
        <v>0</v>
      </c>
      <c r="K102" s="32" t="n">
        <v>51</v>
      </c>
      <c r="L102" s="31" t="n">
        <f aca="false">H102+I102+J102+K102</f>
        <v>59</v>
      </c>
      <c r="M102" s="32" t="n">
        <v>0</v>
      </c>
      <c r="N102" s="33" t="n">
        <f aca="false">L102+M102</f>
        <v>59</v>
      </c>
      <c r="O102" s="34" t="n">
        <v>0</v>
      </c>
    </row>
    <row r="103" customFormat="false" ht="15" hidden="false" customHeight="true" outlineLevel="0" collapsed="false">
      <c r="A103" s="30" t="s">
        <v>157</v>
      </c>
      <c r="B103" s="30" t="s">
        <v>33</v>
      </c>
      <c r="C103" s="18" t="n">
        <v>0</v>
      </c>
      <c r="D103" s="18" t="s">
        <v>63</v>
      </c>
      <c r="E103" s="18" t="s">
        <v>54</v>
      </c>
      <c r="F103" s="31" t="n">
        <v>508</v>
      </c>
      <c r="G103" s="31" t="n">
        <v>450</v>
      </c>
      <c r="H103" s="18" t="n">
        <v>11</v>
      </c>
      <c r="I103" s="32" t="n">
        <v>0</v>
      </c>
      <c r="J103" s="32" t="n">
        <v>0</v>
      </c>
      <c r="K103" s="32" t="n">
        <v>47</v>
      </c>
      <c r="L103" s="31" t="n">
        <f aca="false">H103+I103+J103+K103</f>
        <v>58</v>
      </c>
      <c r="M103" s="32" t="n">
        <v>0</v>
      </c>
      <c r="N103" s="33" t="n">
        <f aca="false">L103+M103</f>
        <v>58</v>
      </c>
      <c r="O103" s="34" t="n">
        <v>0</v>
      </c>
    </row>
    <row r="104" customFormat="false" ht="15" hidden="false" customHeight="true" outlineLevel="0" collapsed="false">
      <c r="A104" s="30" t="s">
        <v>158</v>
      </c>
      <c r="B104" s="30" t="s">
        <v>33</v>
      </c>
      <c r="C104" s="18" t="n">
        <v>0</v>
      </c>
      <c r="D104" s="18" t="s">
        <v>63</v>
      </c>
      <c r="E104" s="18" t="s">
        <v>54</v>
      </c>
      <c r="F104" s="31" t="n">
        <v>508</v>
      </c>
      <c r="G104" s="31" t="n">
        <v>450</v>
      </c>
      <c r="H104" s="18" t="n">
        <v>11</v>
      </c>
      <c r="I104" s="32" t="n">
        <v>0</v>
      </c>
      <c r="J104" s="32" t="n">
        <v>0</v>
      </c>
      <c r="K104" s="32" t="n">
        <v>47</v>
      </c>
      <c r="L104" s="31" t="n">
        <f aca="false">H104+I104+J104+K104</f>
        <v>58</v>
      </c>
      <c r="M104" s="32" t="n">
        <v>0</v>
      </c>
      <c r="N104" s="33" t="n">
        <f aca="false">L104+M104</f>
        <v>58</v>
      </c>
      <c r="O104" s="34" t="n">
        <v>0</v>
      </c>
    </row>
    <row r="105" customFormat="false" ht="15" hidden="false" customHeight="true" outlineLevel="0" collapsed="false">
      <c r="A105" s="30" t="s">
        <v>159</v>
      </c>
      <c r="B105" s="30" t="s">
        <v>33</v>
      </c>
      <c r="C105" s="18" t="n">
        <v>0</v>
      </c>
      <c r="D105" s="18" t="s">
        <v>63</v>
      </c>
      <c r="E105" s="18" t="s">
        <v>54</v>
      </c>
      <c r="F105" s="31" t="n">
        <v>508</v>
      </c>
      <c r="G105" s="31" t="n">
        <v>449</v>
      </c>
      <c r="H105" s="18" t="n">
        <v>12</v>
      </c>
      <c r="I105" s="32" t="n">
        <v>0</v>
      </c>
      <c r="J105" s="32" t="n">
        <v>0</v>
      </c>
      <c r="K105" s="32" t="n">
        <v>47</v>
      </c>
      <c r="L105" s="31" t="n">
        <f aca="false">H105+I105+J105+K105</f>
        <v>59</v>
      </c>
      <c r="M105" s="32" t="n">
        <v>0</v>
      </c>
      <c r="N105" s="33" t="n">
        <f aca="false">L105+M105</f>
        <v>59</v>
      </c>
      <c r="O105" s="34" t="n">
        <v>1</v>
      </c>
    </row>
    <row r="106" customFormat="false" ht="15" hidden="false" customHeight="true" outlineLevel="0" collapsed="false">
      <c r="A106" s="30" t="s">
        <v>160</v>
      </c>
      <c r="B106" s="30" t="s">
        <v>33</v>
      </c>
      <c r="C106" s="18" t="n">
        <v>0</v>
      </c>
      <c r="D106" s="18" t="s">
        <v>63</v>
      </c>
      <c r="E106" s="18" t="s">
        <v>54</v>
      </c>
      <c r="F106" s="31" t="n">
        <v>508</v>
      </c>
      <c r="G106" s="31" t="n">
        <v>449</v>
      </c>
      <c r="H106" s="18" t="n">
        <v>12</v>
      </c>
      <c r="I106" s="32" t="n">
        <v>0</v>
      </c>
      <c r="J106" s="32" t="n">
        <v>0</v>
      </c>
      <c r="K106" s="32" t="n">
        <v>47</v>
      </c>
      <c r="L106" s="31" t="n">
        <f aca="false">H106+I106+J106+K106</f>
        <v>59</v>
      </c>
      <c r="M106" s="32" t="n">
        <v>0</v>
      </c>
      <c r="N106" s="33" t="n">
        <f aca="false">L106+M106</f>
        <v>59</v>
      </c>
      <c r="O106" s="34" t="n">
        <v>1</v>
      </c>
    </row>
    <row r="107" customFormat="false" ht="15" hidden="false" customHeight="true" outlineLevel="0" collapsed="false">
      <c r="A107" s="30" t="s">
        <v>161</v>
      </c>
      <c r="B107" s="30" t="s">
        <v>33</v>
      </c>
      <c r="C107" s="18" t="n">
        <v>0</v>
      </c>
      <c r="D107" s="18" t="s">
        <v>63</v>
      </c>
      <c r="E107" s="18" t="s">
        <v>54</v>
      </c>
      <c r="F107" s="31" t="n">
        <v>508</v>
      </c>
      <c r="G107" s="31" t="n">
        <v>450</v>
      </c>
      <c r="H107" s="18" t="n">
        <v>11</v>
      </c>
      <c r="I107" s="32" t="n">
        <v>0</v>
      </c>
      <c r="J107" s="32" t="n">
        <v>0</v>
      </c>
      <c r="K107" s="32" t="n">
        <v>47</v>
      </c>
      <c r="L107" s="31" t="n">
        <f aca="false">H107+I107+J107+K107</f>
        <v>58</v>
      </c>
      <c r="M107" s="32" t="n">
        <v>0</v>
      </c>
      <c r="N107" s="33" t="n">
        <f aca="false">L107+M107</f>
        <v>58</v>
      </c>
      <c r="O107" s="34" t="n">
        <v>0</v>
      </c>
    </row>
    <row r="108" customFormat="false" ht="15" hidden="false" customHeight="true" outlineLevel="0" collapsed="false">
      <c r="A108" s="30" t="s">
        <v>162</v>
      </c>
      <c r="B108" s="30" t="s">
        <v>33</v>
      </c>
      <c r="C108" s="18" t="n">
        <v>0</v>
      </c>
      <c r="D108" s="18" t="s">
        <v>63</v>
      </c>
      <c r="E108" s="18" t="s">
        <v>54</v>
      </c>
      <c r="F108" s="31" t="n">
        <v>508</v>
      </c>
      <c r="G108" s="31" t="n">
        <v>450</v>
      </c>
      <c r="H108" s="18" t="n">
        <v>11</v>
      </c>
      <c r="I108" s="32" t="n">
        <v>0</v>
      </c>
      <c r="J108" s="32" t="n">
        <v>0</v>
      </c>
      <c r="K108" s="32" t="n">
        <v>47</v>
      </c>
      <c r="L108" s="31" t="n">
        <f aca="false">H108+I108+J108+K108</f>
        <v>58</v>
      </c>
      <c r="M108" s="32" t="n">
        <v>0</v>
      </c>
      <c r="N108" s="33" t="n">
        <f aca="false">L108+M108</f>
        <v>58</v>
      </c>
      <c r="O108" s="34" t="n">
        <v>0</v>
      </c>
    </row>
    <row r="109" customFormat="false" ht="15" hidden="false" customHeight="true" outlineLevel="0" collapsed="false">
      <c r="A109" s="30" t="s">
        <v>163</v>
      </c>
      <c r="B109" s="30" t="s">
        <v>33</v>
      </c>
      <c r="C109" s="18" t="n">
        <v>0</v>
      </c>
      <c r="D109" s="18" t="s">
        <v>63</v>
      </c>
      <c r="E109" s="18" t="s">
        <v>54</v>
      </c>
      <c r="F109" s="31" t="n">
        <v>508</v>
      </c>
      <c r="G109" s="31" t="n">
        <v>450</v>
      </c>
      <c r="H109" s="18" t="n">
        <v>11</v>
      </c>
      <c r="I109" s="32" t="n">
        <v>0</v>
      </c>
      <c r="J109" s="32" t="n">
        <v>0</v>
      </c>
      <c r="K109" s="32" t="n">
        <v>47</v>
      </c>
      <c r="L109" s="31" t="n">
        <f aca="false">H109+I109+J109+K109</f>
        <v>58</v>
      </c>
      <c r="M109" s="32" t="n">
        <v>0</v>
      </c>
      <c r="N109" s="33" t="n">
        <f aca="false">L109+M109</f>
        <v>58</v>
      </c>
      <c r="O109" s="34" t="n">
        <v>0</v>
      </c>
    </row>
    <row r="110" customFormat="false" ht="15" hidden="false" customHeight="true" outlineLevel="0" collapsed="false">
      <c r="A110" s="30" t="s">
        <v>164</v>
      </c>
      <c r="B110" s="30" t="s">
        <v>33</v>
      </c>
      <c r="C110" s="18" t="n">
        <v>0</v>
      </c>
      <c r="D110" s="18" t="s">
        <v>63</v>
      </c>
      <c r="E110" s="18" t="s">
        <v>54</v>
      </c>
      <c r="F110" s="31" t="n">
        <v>508</v>
      </c>
      <c r="G110" s="31" t="n">
        <v>450</v>
      </c>
      <c r="H110" s="18" t="n">
        <v>11</v>
      </c>
      <c r="I110" s="32" t="n">
        <v>0</v>
      </c>
      <c r="J110" s="32" t="n">
        <v>0</v>
      </c>
      <c r="K110" s="32" t="n">
        <v>47</v>
      </c>
      <c r="L110" s="31" t="n">
        <f aca="false">H110+I110+J110+K110</f>
        <v>58</v>
      </c>
      <c r="M110" s="32" t="n">
        <v>0</v>
      </c>
      <c r="N110" s="33" t="n">
        <f aca="false">L110+M110</f>
        <v>58</v>
      </c>
      <c r="O110" s="34" t="n">
        <v>0</v>
      </c>
    </row>
    <row r="111" customFormat="false" ht="15" hidden="false" customHeight="true" outlineLevel="0" collapsed="false">
      <c r="A111" s="30" t="s">
        <v>165</v>
      </c>
      <c r="B111" s="30" t="s">
        <v>33</v>
      </c>
      <c r="C111" s="18" t="n">
        <v>0</v>
      </c>
      <c r="D111" s="18" t="s">
        <v>63</v>
      </c>
      <c r="E111" s="18" t="s">
        <v>54</v>
      </c>
      <c r="F111" s="31" t="n">
        <v>508</v>
      </c>
      <c r="G111" s="31" t="n">
        <v>450</v>
      </c>
      <c r="H111" s="18" t="n">
        <v>11</v>
      </c>
      <c r="I111" s="32" t="n">
        <v>0</v>
      </c>
      <c r="J111" s="32" t="n">
        <v>0</v>
      </c>
      <c r="K111" s="32" t="n">
        <v>47</v>
      </c>
      <c r="L111" s="31" t="n">
        <f aca="false">H111+I111+J111+K111</f>
        <v>58</v>
      </c>
      <c r="M111" s="32" t="n">
        <v>0</v>
      </c>
      <c r="N111" s="33" t="n">
        <f aca="false">L111+M111</f>
        <v>58</v>
      </c>
      <c r="O111" s="34" t="n">
        <v>0</v>
      </c>
    </row>
    <row r="112" customFormat="false" ht="15" hidden="false" customHeight="true" outlineLevel="0" collapsed="false">
      <c r="A112" s="30" t="s">
        <v>166</v>
      </c>
      <c r="B112" s="30" t="s">
        <v>33</v>
      </c>
      <c r="C112" s="18" t="n">
        <v>0</v>
      </c>
      <c r="D112" s="18" t="s">
        <v>63</v>
      </c>
      <c r="E112" s="18" t="s">
        <v>54</v>
      </c>
      <c r="F112" s="31" t="n">
        <v>508</v>
      </c>
      <c r="G112" s="31" t="n">
        <v>450</v>
      </c>
      <c r="H112" s="18" t="n">
        <v>11</v>
      </c>
      <c r="I112" s="32" t="n">
        <v>0</v>
      </c>
      <c r="J112" s="32" t="n">
        <v>0</v>
      </c>
      <c r="K112" s="32" t="n">
        <v>47</v>
      </c>
      <c r="L112" s="31" t="n">
        <f aca="false">H112+I112+J112+K112</f>
        <v>58</v>
      </c>
      <c r="M112" s="32" t="n">
        <v>0</v>
      </c>
      <c r="N112" s="33" t="n">
        <f aca="false">L112+M112</f>
        <v>58</v>
      </c>
      <c r="O112" s="34" t="n">
        <v>0</v>
      </c>
    </row>
    <row r="113" customFormat="false" ht="15" hidden="false" customHeight="true" outlineLevel="0" collapsed="false">
      <c r="A113" s="30" t="s">
        <v>167</v>
      </c>
      <c r="B113" s="30" t="s">
        <v>33</v>
      </c>
      <c r="C113" s="18" t="n">
        <v>1</v>
      </c>
      <c r="D113" s="18" t="s">
        <v>63</v>
      </c>
      <c r="E113" s="18" t="s">
        <v>54</v>
      </c>
      <c r="F113" s="31" t="n">
        <v>502</v>
      </c>
      <c r="G113" s="31" t="n">
        <v>450</v>
      </c>
      <c r="H113" s="18" t="n">
        <v>21</v>
      </c>
      <c r="I113" s="32" t="n">
        <v>2</v>
      </c>
      <c r="J113" s="32" t="n">
        <v>0</v>
      </c>
      <c r="K113" s="32" t="n">
        <v>29</v>
      </c>
      <c r="L113" s="31" t="n">
        <f aca="false">H113+I113+J113+K113</f>
        <v>52</v>
      </c>
      <c r="M113" s="32" t="n">
        <v>0</v>
      </c>
      <c r="N113" s="33" t="n">
        <f aca="false">L113+M113</f>
        <v>52</v>
      </c>
      <c r="O113" s="34" t="n">
        <v>0</v>
      </c>
    </row>
    <row r="114" customFormat="false" ht="15" hidden="false" customHeight="true" outlineLevel="0" collapsed="false">
      <c r="A114" s="30" t="s">
        <v>168</v>
      </c>
      <c r="B114" s="30" t="s">
        <v>33</v>
      </c>
      <c r="C114" s="18" t="n">
        <v>1</v>
      </c>
      <c r="D114" s="18" t="s">
        <v>63</v>
      </c>
      <c r="E114" s="18" t="s">
        <v>54</v>
      </c>
      <c r="F114" s="31" t="n">
        <v>502</v>
      </c>
      <c r="G114" s="31" t="n">
        <v>456</v>
      </c>
      <c r="H114" s="18" t="n">
        <v>15</v>
      </c>
      <c r="I114" s="32" t="n">
        <v>2</v>
      </c>
      <c r="J114" s="32" t="n">
        <v>0</v>
      </c>
      <c r="K114" s="32" t="n">
        <v>29</v>
      </c>
      <c r="L114" s="31" t="n">
        <f aca="false">H114+I114+J114+K114</f>
        <v>46</v>
      </c>
      <c r="M114" s="32" t="n">
        <v>0</v>
      </c>
      <c r="N114" s="33" t="n">
        <f aca="false">L114+M114</f>
        <v>46</v>
      </c>
      <c r="O114" s="34" t="n">
        <v>0</v>
      </c>
    </row>
    <row r="115" customFormat="false" ht="15" hidden="false" customHeight="true" outlineLevel="0" collapsed="false">
      <c r="A115" s="30" t="s">
        <v>169</v>
      </c>
      <c r="B115" s="30" t="s">
        <v>33</v>
      </c>
      <c r="C115" s="18" t="n">
        <v>1</v>
      </c>
      <c r="D115" s="18" t="s">
        <v>63</v>
      </c>
      <c r="E115" s="18" t="s">
        <v>54</v>
      </c>
      <c r="F115" s="31" t="n">
        <v>502</v>
      </c>
      <c r="G115" s="31" t="n">
        <v>453</v>
      </c>
      <c r="H115" s="18" t="n">
        <v>17</v>
      </c>
      <c r="I115" s="32" t="n">
        <v>2</v>
      </c>
      <c r="J115" s="32" t="n">
        <v>0</v>
      </c>
      <c r="K115" s="32" t="n">
        <v>30</v>
      </c>
      <c r="L115" s="31" t="n">
        <f aca="false">H115+I115+J115+K115</f>
        <v>49</v>
      </c>
      <c r="M115" s="32" t="n">
        <v>0</v>
      </c>
      <c r="N115" s="33" t="n">
        <f aca="false">L115+M115</f>
        <v>49</v>
      </c>
      <c r="O115" s="34" t="n">
        <v>0</v>
      </c>
    </row>
    <row r="116" customFormat="false" ht="15" hidden="false" customHeight="true" outlineLevel="0" collapsed="false">
      <c r="A116" s="30" t="s">
        <v>170</v>
      </c>
      <c r="B116" s="30" t="s">
        <v>33</v>
      </c>
      <c r="C116" s="18" t="n">
        <v>1</v>
      </c>
      <c r="D116" s="18" t="s">
        <v>63</v>
      </c>
      <c r="E116" s="18" t="s">
        <v>54</v>
      </c>
      <c r="F116" s="31" t="n">
        <v>502</v>
      </c>
      <c r="G116" s="31" t="n">
        <v>454</v>
      </c>
      <c r="H116" s="18" t="n">
        <v>17</v>
      </c>
      <c r="I116" s="32" t="n">
        <v>2</v>
      </c>
      <c r="J116" s="32" t="n">
        <v>0</v>
      </c>
      <c r="K116" s="32" t="n">
        <v>29</v>
      </c>
      <c r="L116" s="31" t="n">
        <f aca="false">H116+I116+J116+K116</f>
        <v>48</v>
      </c>
      <c r="M116" s="32" t="n">
        <v>0</v>
      </c>
      <c r="N116" s="33" t="n">
        <f aca="false">L116+M116</f>
        <v>48</v>
      </c>
      <c r="O116" s="34" t="n">
        <v>0</v>
      </c>
    </row>
    <row r="117" customFormat="false" ht="15" hidden="false" customHeight="true" outlineLevel="0" collapsed="false">
      <c r="A117" s="30" t="s">
        <v>171</v>
      </c>
      <c r="B117" s="30" t="s">
        <v>33</v>
      </c>
      <c r="C117" s="18" t="n">
        <v>1</v>
      </c>
      <c r="D117" s="18" t="s">
        <v>63</v>
      </c>
      <c r="E117" s="18" t="s">
        <v>54</v>
      </c>
      <c r="F117" s="31" t="n">
        <v>502</v>
      </c>
      <c r="G117" s="31" t="n">
        <v>438</v>
      </c>
      <c r="H117" s="18" t="n">
        <v>32</v>
      </c>
      <c r="I117" s="32" t="n">
        <v>2</v>
      </c>
      <c r="J117" s="32" t="n">
        <v>0</v>
      </c>
      <c r="K117" s="32" t="n">
        <v>30</v>
      </c>
      <c r="L117" s="31" t="n">
        <f aca="false">H117+I117+J117+K117</f>
        <v>64</v>
      </c>
      <c r="M117" s="32" t="n">
        <v>0</v>
      </c>
      <c r="N117" s="33" t="n">
        <f aca="false">L117+M117</f>
        <v>64</v>
      </c>
      <c r="O117" s="34" t="n">
        <v>0</v>
      </c>
    </row>
    <row r="118" customFormat="false" ht="15" hidden="false" customHeight="true" outlineLevel="0" collapsed="false">
      <c r="A118" s="30" t="s">
        <v>172</v>
      </c>
      <c r="B118" s="30" t="s">
        <v>33</v>
      </c>
      <c r="C118" s="18" t="n">
        <v>1</v>
      </c>
      <c r="D118" s="18" t="s">
        <v>63</v>
      </c>
      <c r="E118" s="18" t="s">
        <v>54</v>
      </c>
      <c r="F118" s="31" t="n">
        <v>502</v>
      </c>
      <c r="G118" s="31" t="n">
        <v>462</v>
      </c>
      <c r="H118" s="18" t="n">
        <v>8</v>
      </c>
      <c r="I118" s="32" t="n">
        <v>2</v>
      </c>
      <c r="J118" s="32" t="n">
        <v>0</v>
      </c>
      <c r="K118" s="32" t="n">
        <v>30</v>
      </c>
      <c r="L118" s="31" t="n">
        <f aca="false">H118+I118+J118+K118</f>
        <v>40</v>
      </c>
      <c r="M118" s="32" t="n">
        <v>0</v>
      </c>
      <c r="N118" s="33" t="n">
        <f aca="false">L118+M118</f>
        <v>40</v>
      </c>
      <c r="O118" s="34" t="n">
        <v>0</v>
      </c>
    </row>
    <row r="119" customFormat="false" ht="15" hidden="false" customHeight="true" outlineLevel="0" collapsed="false">
      <c r="A119" s="30" t="s">
        <v>173</v>
      </c>
      <c r="B119" s="30" t="s">
        <v>33</v>
      </c>
      <c r="C119" s="18" t="n">
        <v>1</v>
      </c>
      <c r="D119" s="18" t="s">
        <v>63</v>
      </c>
      <c r="E119" s="18" t="s">
        <v>54</v>
      </c>
      <c r="F119" s="31" t="n">
        <v>502</v>
      </c>
      <c r="G119" s="31" t="n">
        <v>462</v>
      </c>
      <c r="H119" s="18" t="n">
        <v>8</v>
      </c>
      <c r="I119" s="32" t="n">
        <v>2</v>
      </c>
      <c r="J119" s="32" t="n">
        <v>0</v>
      </c>
      <c r="K119" s="32" t="n">
        <v>30</v>
      </c>
      <c r="L119" s="31" t="n">
        <f aca="false">H119+I119+J119+K119</f>
        <v>40</v>
      </c>
      <c r="M119" s="32" t="n">
        <v>0</v>
      </c>
      <c r="N119" s="33" t="n">
        <f aca="false">L119+M119</f>
        <v>40</v>
      </c>
      <c r="O119" s="34" t="n">
        <v>0</v>
      </c>
    </row>
    <row r="120" customFormat="false" ht="15" hidden="false" customHeight="true" outlineLevel="0" collapsed="false">
      <c r="A120" s="30" t="s">
        <v>174</v>
      </c>
      <c r="B120" s="30" t="s">
        <v>33</v>
      </c>
      <c r="C120" s="18" t="n">
        <v>1</v>
      </c>
      <c r="D120" s="18" t="s">
        <v>63</v>
      </c>
      <c r="E120" s="18" t="s">
        <v>54</v>
      </c>
      <c r="F120" s="31" t="n">
        <v>502</v>
      </c>
      <c r="G120" s="31" t="n">
        <v>462</v>
      </c>
      <c r="H120" s="18" t="n">
        <v>8</v>
      </c>
      <c r="I120" s="32" t="n">
        <v>2</v>
      </c>
      <c r="J120" s="32" t="n">
        <v>0</v>
      </c>
      <c r="K120" s="32" t="n">
        <v>30</v>
      </c>
      <c r="L120" s="31" t="n">
        <f aca="false">H120+I120+J120+K120</f>
        <v>40</v>
      </c>
      <c r="M120" s="32" t="n">
        <v>0</v>
      </c>
      <c r="N120" s="33" t="n">
        <f aca="false">L120+M120</f>
        <v>40</v>
      </c>
      <c r="O120" s="34" t="n">
        <v>0</v>
      </c>
    </row>
    <row r="121" customFormat="false" ht="15" hidden="false" customHeight="true" outlineLevel="0" collapsed="false">
      <c r="A121" s="30" t="s">
        <v>175</v>
      </c>
      <c r="B121" s="30" t="s">
        <v>33</v>
      </c>
      <c r="C121" s="18" t="n">
        <v>1</v>
      </c>
      <c r="D121" s="18" t="s">
        <v>63</v>
      </c>
      <c r="E121" s="18" t="s">
        <v>54</v>
      </c>
      <c r="F121" s="31" t="n">
        <v>502</v>
      </c>
      <c r="G121" s="31" t="n">
        <v>463</v>
      </c>
      <c r="H121" s="18" t="n">
        <v>8</v>
      </c>
      <c r="I121" s="32" t="n">
        <v>2</v>
      </c>
      <c r="J121" s="32" t="n">
        <v>0</v>
      </c>
      <c r="K121" s="32" t="n">
        <v>29</v>
      </c>
      <c r="L121" s="31" t="n">
        <f aca="false">H121+I121+J121+K121</f>
        <v>39</v>
      </c>
      <c r="M121" s="32" t="n">
        <v>0</v>
      </c>
      <c r="N121" s="33" t="n">
        <f aca="false">L121+M121</f>
        <v>39</v>
      </c>
      <c r="O121" s="34" t="n">
        <v>0</v>
      </c>
    </row>
    <row r="122" customFormat="false" ht="15" hidden="false" customHeight="true" outlineLevel="0" collapsed="false">
      <c r="A122" s="30" t="s">
        <v>176</v>
      </c>
      <c r="B122" s="30" t="s">
        <v>33</v>
      </c>
      <c r="C122" s="18" t="n">
        <v>1</v>
      </c>
      <c r="D122" s="18" t="s">
        <v>63</v>
      </c>
      <c r="E122" s="18" t="s">
        <v>54</v>
      </c>
      <c r="F122" s="31" t="n">
        <v>502</v>
      </c>
      <c r="G122" s="31" t="n">
        <v>462</v>
      </c>
      <c r="H122" s="18" t="n">
        <v>8</v>
      </c>
      <c r="I122" s="32" t="n">
        <v>2</v>
      </c>
      <c r="J122" s="32" t="n">
        <v>0</v>
      </c>
      <c r="K122" s="32" t="n">
        <v>30</v>
      </c>
      <c r="L122" s="31" t="n">
        <f aca="false">H122+I122+J122+K122</f>
        <v>40</v>
      </c>
      <c r="M122" s="32" t="n">
        <v>0</v>
      </c>
      <c r="N122" s="33" t="n">
        <f aca="false">L122+M122</f>
        <v>40</v>
      </c>
      <c r="O122" s="34" t="n">
        <v>0</v>
      </c>
    </row>
    <row r="123" customFormat="false" ht="15" hidden="false" customHeight="true" outlineLevel="0" collapsed="false">
      <c r="A123" s="30" t="s">
        <v>177</v>
      </c>
      <c r="B123" s="30" t="s">
        <v>33</v>
      </c>
      <c r="C123" s="18" t="n">
        <v>1</v>
      </c>
      <c r="D123" s="18" t="s">
        <v>63</v>
      </c>
      <c r="E123" s="18" t="s">
        <v>54</v>
      </c>
      <c r="F123" s="31" t="n">
        <v>502</v>
      </c>
      <c r="G123" s="31" t="n">
        <v>463</v>
      </c>
      <c r="H123" s="18" t="n">
        <v>8</v>
      </c>
      <c r="I123" s="32" t="n">
        <v>2</v>
      </c>
      <c r="J123" s="32" t="n">
        <v>0</v>
      </c>
      <c r="K123" s="32" t="n">
        <v>29</v>
      </c>
      <c r="L123" s="31" t="n">
        <f aca="false">H123+I123+J123+K123</f>
        <v>39</v>
      </c>
      <c r="M123" s="32" t="n">
        <v>0</v>
      </c>
      <c r="N123" s="33" t="n">
        <f aca="false">L123+M123</f>
        <v>39</v>
      </c>
      <c r="O123" s="34" t="n">
        <v>0</v>
      </c>
    </row>
    <row r="124" customFormat="false" ht="15" hidden="false" customHeight="true" outlineLevel="0" collapsed="false">
      <c r="A124" s="30" t="s">
        <v>178</v>
      </c>
      <c r="B124" s="30" t="s">
        <v>33</v>
      </c>
      <c r="C124" s="18" t="n">
        <v>1</v>
      </c>
      <c r="D124" s="18" t="s">
        <v>63</v>
      </c>
      <c r="E124" s="18" t="s">
        <v>54</v>
      </c>
      <c r="F124" s="31" t="n">
        <v>502</v>
      </c>
      <c r="G124" s="31" t="n">
        <v>471</v>
      </c>
      <c r="H124" s="18" t="n">
        <v>11</v>
      </c>
      <c r="I124" s="32" t="n">
        <v>2</v>
      </c>
      <c r="J124" s="32" t="n">
        <v>0</v>
      </c>
      <c r="K124" s="32" t="n">
        <v>18</v>
      </c>
      <c r="L124" s="31" t="n">
        <f aca="false">H124+I124+J124+K124</f>
        <v>31</v>
      </c>
      <c r="M124" s="32" t="n">
        <v>0</v>
      </c>
      <c r="N124" s="33" t="n">
        <f aca="false">L124+M124</f>
        <v>31</v>
      </c>
      <c r="O124" s="34" t="n">
        <v>0</v>
      </c>
    </row>
    <row r="125" customFormat="false" ht="15" hidden="false" customHeight="true" outlineLevel="0" collapsed="false">
      <c r="A125" s="30" t="s">
        <v>179</v>
      </c>
      <c r="B125" s="30" t="s">
        <v>33</v>
      </c>
      <c r="C125" s="18" t="n">
        <v>1</v>
      </c>
      <c r="D125" s="18" t="s">
        <v>63</v>
      </c>
      <c r="E125" s="18" t="s">
        <v>54</v>
      </c>
      <c r="F125" s="31" t="n">
        <v>502</v>
      </c>
      <c r="G125" s="31" t="n">
        <v>471</v>
      </c>
      <c r="H125" s="18" t="n">
        <v>11</v>
      </c>
      <c r="I125" s="32" t="n">
        <v>2</v>
      </c>
      <c r="J125" s="32" t="n">
        <v>0</v>
      </c>
      <c r="K125" s="32" t="n">
        <v>18</v>
      </c>
      <c r="L125" s="31" t="n">
        <f aca="false">H125+I125+J125+K125</f>
        <v>31</v>
      </c>
      <c r="M125" s="32" t="n">
        <v>0</v>
      </c>
      <c r="N125" s="33" t="n">
        <f aca="false">L125+M125</f>
        <v>31</v>
      </c>
      <c r="O125" s="34" t="n">
        <v>0</v>
      </c>
    </row>
    <row r="126" customFormat="false" ht="15" hidden="false" customHeight="true" outlineLevel="0" collapsed="false">
      <c r="A126" s="30" t="s">
        <v>180</v>
      </c>
      <c r="B126" s="30" t="s">
        <v>33</v>
      </c>
      <c r="C126" s="18" t="n">
        <v>1</v>
      </c>
      <c r="D126" s="18" t="s">
        <v>63</v>
      </c>
      <c r="E126" s="18" t="s">
        <v>54</v>
      </c>
      <c r="F126" s="31" t="n">
        <v>502</v>
      </c>
      <c r="G126" s="31" t="n">
        <v>471</v>
      </c>
      <c r="H126" s="18" t="n">
        <v>11</v>
      </c>
      <c r="I126" s="32" t="n">
        <v>2</v>
      </c>
      <c r="J126" s="32" t="n">
        <v>0</v>
      </c>
      <c r="K126" s="32" t="n">
        <v>18</v>
      </c>
      <c r="L126" s="31" t="n">
        <f aca="false">H126+I126+J126+K126</f>
        <v>31</v>
      </c>
      <c r="M126" s="32" t="n">
        <v>0</v>
      </c>
      <c r="N126" s="33" t="n">
        <f aca="false">L126+M126</f>
        <v>31</v>
      </c>
      <c r="O126" s="34" t="n">
        <v>0</v>
      </c>
    </row>
    <row r="127" customFormat="false" ht="15" hidden="false" customHeight="true" outlineLevel="0" collapsed="false">
      <c r="A127" s="30" t="s">
        <v>181</v>
      </c>
      <c r="B127" s="30" t="s">
        <v>33</v>
      </c>
      <c r="C127" s="18" t="n">
        <v>2</v>
      </c>
      <c r="D127" s="18" t="s">
        <v>63</v>
      </c>
      <c r="E127" s="18" t="s">
        <v>64</v>
      </c>
      <c r="F127" s="31" t="n">
        <v>502</v>
      </c>
      <c r="G127" s="31" t="n">
        <v>448</v>
      </c>
      <c r="H127" s="18" t="n">
        <v>8</v>
      </c>
      <c r="I127" s="32" t="n">
        <v>12</v>
      </c>
      <c r="J127" s="32" t="n">
        <v>0</v>
      </c>
      <c r="K127" s="32" t="n">
        <v>34</v>
      </c>
      <c r="L127" s="31" t="n">
        <f aca="false">H127+I127+J127+K127</f>
        <v>54</v>
      </c>
      <c r="M127" s="32" t="n">
        <v>0</v>
      </c>
      <c r="N127" s="33" t="n">
        <f aca="false">L127+M127</f>
        <v>54</v>
      </c>
      <c r="O127" s="34" t="n">
        <v>0</v>
      </c>
    </row>
    <row r="128" customFormat="false" ht="15" hidden="false" customHeight="true" outlineLevel="0" collapsed="false">
      <c r="A128" s="30" t="s">
        <v>182</v>
      </c>
      <c r="B128" s="30" t="s">
        <v>33</v>
      </c>
      <c r="C128" s="18" t="n">
        <v>2</v>
      </c>
      <c r="D128" s="18" t="s">
        <v>63</v>
      </c>
      <c r="E128" s="18" t="s">
        <v>64</v>
      </c>
      <c r="F128" s="31" t="n">
        <v>502</v>
      </c>
      <c r="G128" s="31" t="n">
        <v>447</v>
      </c>
      <c r="H128" s="18" t="n">
        <v>8</v>
      </c>
      <c r="I128" s="32" t="n">
        <v>27</v>
      </c>
      <c r="J128" s="32" t="n">
        <v>0</v>
      </c>
      <c r="K128" s="32" t="n">
        <v>20</v>
      </c>
      <c r="L128" s="31" t="n">
        <f aca="false">H128+I128+J128+K128</f>
        <v>55</v>
      </c>
      <c r="M128" s="32" t="n">
        <v>0</v>
      </c>
      <c r="N128" s="33" t="n">
        <f aca="false">L128+M128</f>
        <v>55</v>
      </c>
      <c r="O128" s="34" t="n">
        <v>0</v>
      </c>
    </row>
    <row r="129" customFormat="false" ht="15" hidden="false" customHeight="true" outlineLevel="0" collapsed="false">
      <c r="A129" s="30" t="s">
        <v>183</v>
      </c>
      <c r="B129" s="30" t="s">
        <v>33</v>
      </c>
      <c r="C129" s="18" t="n">
        <v>2</v>
      </c>
      <c r="D129" s="18" t="s">
        <v>63</v>
      </c>
      <c r="E129" s="18" t="s">
        <v>64</v>
      </c>
      <c r="F129" s="31" t="n">
        <v>502</v>
      </c>
      <c r="G129" s="31" t="n">
        <v>457</v>
      </c>
      <c r="H129" s="18" t="n">
        <v>8</v>
      </c>
      <c r="I129" s="32" t="n">
        <v>17</v>
      </c>
      <c r="J129" s="32" t="n">
        <v>0</v>
      </c>
      <c r="K129" s="32" t="n">
        <v>20</v>
      </c>
      <c r="L129" s="31" t="n">
        <f aca="false">H129+I129+J129+K129</f>
        <v>45</v>
      </c>
      <c r="M129" s="32" t="n">
        <v>0</v>
      </c>
      <c r="N129" s="33" t="n">
        <f aca="false">L129+M129</f>
        <v>45</v>
      </c>
      <c r="O129" s="34" t="n">
        <v>2</v>
      </c>
    </row>
    <row r="130" customFormat="false" ht="15" hidden="false" customHeight="true" outlineLevel="0" collapsed="false">
      <c r="A130" s="30" t="s">
        <v>184</v>
      </c>
      <c r="B130" s="30" t="s">
        <v>33</v>
      </c>
      <c r="C130" s="18" t="n">
        <v>2</v>
      </c>
      <c r="D130" s="18" t="s">
        <v>63</v>
      </c>
      <c r="E130" s="18" t="s">
        <v>64</v>
      </c>
      <c r="F130" s="31" t="n">
        <v>502</v>
      </c>
      <c r="G130" s="31" t="n">
        <v>450</v>
      </c>
      <c r="H130" s="18" t="n">
        <v>8</v>
      </c>
      <c r="I130" s="32" t="n">
        <v>25</v>
      </c>
      <c r="J130" s="32" t="n">
        <v>0</v>
      </c>
      <c r="K130" s="32" t="n">
        <v>19</v>
      </c>
      <c r="L130" s="31" t="n">
        <f aca="false">H130+I130+J130+K130</f>
        <v>52</v>
      </c>
      <c r="M130" s="32" t="n">
        <v>0</v>
      </c>
      <c r="N130" s="33" t="n">
        <f aca="false">L130+M130</f>
        <v>52</v>
      </c>
      <c r="O130" s="34" t="n">
        <v>0</v>
      </c>
    </row>
    <row r="131" customFormat="false" ht="15" hidden="false" customHeight="true" outlineLevel="0" collapsed="false">
      <c r="A131" s="30" t="s">
        <v>185</v>
      </c>
      <c r="B131" s="30" t="s">
        <v>33</v>
      </c>
      <c r="C131" s="18" t="n">
        <v>2</v>
      </c>
      <c r="D131" s="18" t="s">
        <v>63</v>
      </c>
      <c r="E131" s="18" t="s">
        <v>64</v>
      </c>
      <c r="F131" s="31" t="n">
        <v>502</v>
      </c>
      <c r="G131" s="31" t="n">
        <v>456</v>
      </c>
      <c r="H131" s="18" t="n">
        <v>8</v>
      </c>
      <c r="I131" s="32" t="n">
        <v>18</v>
      </c>
      <c r="J131" s="32" t="n">
        <v>0</v>
      </c>
      <c r="K131" s="32" t="n">
        <v>20</v>
      </c>
      <c r="L131" s="31" t="n">
        <f aca="false">H131+I131+J131+K131</f>
        <v>46</v>
      </c>
      <c r="M131" s="32" t="n">
        <v>0</v>
      </c>
      <c r="N131" s="33" t="n">
        <f aca="false">L131+M131</f>
        <v>46</v>
      </c>
      <c r="O131" s="34" t="n">
        <v>1</v>
      </c>
    </row>
    <row r="132" customFormat="false" ht="15" hidden="false" customHeight="true" outlineLevel="0" collapsed="false">
      <c r="A132" s="30" t="s">
        <v>186</v>
      </c>
      <c r="B132" s="30" t="s">
        <v>33</v>
      </c>
      <c r="C132" s="18" t="n">
        <v>2</v>
      </c>
      <c r="D132" s="18" t="s">
        <v>63</v>
      </c>
      <c r="E132" s="18" t="s">
        <v>54</v>
      </c>
      <c r="F132" s="31" t="n">
        <v>502</v>
      </c>
      <c r="G132" s="31" t="n">
        <v>445</v>
      </c>
      <c r="H132" s="18" t="n">
        <v>8</v>
      </c>
      <c r="I132" s="32" t="n">
        <v>29</v>
      </c>
      <c r="J132" s="32" t="n">
        <v>0</v>
      </c>
      <c r="K132" s="32" t="n">
        <v>20</v>
      </c>
      <c r="L132" s="31" t="n">
        <f aca="false">H132+I132+J132+K132</f>
        <v>57</v>
      </c>
      <c r="M132" s="32" t="n">
        <v>0</v>
      </c>
      <c r="N132" s="33" t="n">
        <f aca="false">L132+M132</f>
        <v>57</v>
      </c>
      <c r="O132" s="34" t="n">
        <v>0</v>
      </c>
    </row>
    <row r="133" customFormat="false" ht="15" hidden="false" customHeight="true" outlineLevel="0" collapsed="false">
      <c r="A133" s="30" t="s">
        <v>187</v>
      </c>
      <c r="B133" s="30" t="s">
        <v>33</v>
      </c>
      <c r="C133" s="18" t="n">
        <v>2</v>
      </c>
      <c r="D133" s="18" t="s">
        <v>63</v>
      </c>
      <c r="E133" s="18" t="s">
        <v>54</v>
      </c>
      <c r="F133" s="31" t="n">
        <v>502</v>
      </c>
      <c r="G133" s="31" t="n">
        <v>455</v>
      </c>
      <c r="H133" s="18" t="n">
        <v>8</v>
      </c>
      <c r="I133" s="32" t="n">
        <v>19</v>
      </c>
      <c r="J133" s="32" t="n">
        <v>0</v>
      </c>
      <c r="K133" s="32" t="n">
        <v>20</v>
      </c>
      <c r="L133" s="31" t="n">
        <f aca="false">H133+I133+J133+K133</f>
        <v>47</v>
      </c>
      <c r="M133" s="32" t="n">
        <v>0</v>
      </c>
      <c r="N133" s="33" t="n">
        <f aca="false">L133+M133</f>
        <v>47</v>
      </c>
      <c r="O133" s="34" t="n">
        <v>0</v>
      </c>
    </row>
    <row r="134" customFormat="false" ht="15" hidden="false" customHeight="true" outlineLevel="0" collapsed="false">
      <c r="A134" s="30" t="s">
        <v>188</v>
      </c>
      <c r="B134" s="30" t="s">
        <v>33</v>
      </c>
      <c r="C134" s="18" t="n">
        <v>2</v>
      </c>
      <c r="D134" s="18" t="s">
        <v>63</v>
      </c>
      <c r="E134" s="18" t="s">
        <v>64</v>
      </c>
      <c r="F134" s="31" t="n">
        <v>502</v>
      </c>
      <c r="G134" s="31" t="n">
        <v>450</v>
      </c>
      <c r="H134" s="18" t="n">
        <v>8</v>
      </c>
      <c r="I134" s="32" t="n">
        <v>25</v>
      </c>
      <c r="J134" s="32" t="n">
        <v>0</v>
      </c>
      <c r="K134" s="32" t="n">
        <v>19</v>
      </c>
      <c r="L134" s="31" t="n">
        <f aca="false">H134+I134+J134+K134</f>
        <v>52</v>
      </c>
      <c r="M134" s="32" t="n">
        <v>0</v>
      </c>
      <c r="N134" s="33" t="n">
        <f aca="false">L134+M134</f>
        <v>52</v>
      </c>
      <c r="O134" s="34" t="n">
        <v>0</v>
      </c>
    </row>
    <row r="135" customFormat="false" ht="15" hidden="false" customHeight="true" outlineLevel="0" collapsed="false">
      <c r="A135" s="30" t="s">
        <v>189</v>
      </c>
      <c r="B135" s="30" t="s">
        <v>33</v>
      </c>
      <c r="C135" s="18" t="n">
        <v>2</v>
      </c>
      <c r="D135" s="18" t="s">
        <v>63</v>
      </c>
      <c r="E135" s="18" t="s">
        <v>64</v>
      </c>
      <c r="F135" s="31" t="n">
        <v>502</v>
      </c>
      <c r="G135" s="31" t="n">
        <v>448</v>
      </c>
      <c r="H135" s="18" t="n">
        <v>8</v>
      </c>
      <c r="I135" s="32" t="n">
        <v>27</v>
      </c>
      <c r="J135" s="32" t="n">
        <v>0</v>
      </c>
      <c r="K135" s="32" t="n">
        <v>19</v>
      </c>
      <c r="L135" s="31" t="n">
        <f aca="false">H135+I135+J135+K135</f>
        <v>54</v>
      </c>
      <c r="M135" s="32" t="n">
        <v>0</v>
      </c>
      <c r="N135" s="33" t="n">
        <f aca="false">L135+M135</f>
        <v>54</v>
      </c>
      <c r="O135" s="34" t="n">
        <v>4</v>
      </c>
    </row>
    <row r="136" customFormat="false" ht="15" hidden="false" customHeight="true" outlineLevel="0" collapsed="false">
      <c r="A136" s="30" t="s">
        <v>190</v>
      </c>
      <c r="B136" s="30" t="s">
        <v>33</v>
      </c>
      <c r="C136" s="18" t="n">
        <v>2</v>
      </c>
      <c r="D136" s="18" t="s">
        <v>63</v>
      </c>
      <c r="E136" s="18" t="s">
        <v>64</v>
      </c>
      <c r="F136" s="31" t="n">
        <v>502</v>
      </c>
      <c r="G136" s="31" t="n">
        <v>461</v>
      </c>
      <c r="H136" s="18" t="n">
        <v>0</v>
      </c>
      <c r="I136" s="32" t="n">
        <v>9</v>
      </c>
      <c r="J136" s="32" t="n">
        <v>0</v>
      </c>
      <c r="K136" s="32" t="n">
        <v>32</v>
      </c>
      <c r="L136" s="31" t="n">
        <f aca="false">H136+I136+J136+K136</f>
        <v>41</v>
      </c>
      <c r="M136" s="32" t="n">
        <v>0</v>
      </c>
      <c r="N136" s="33" t="n">
        <f aca="false">L136+M136</f>
        <v>41</v>
      </c>
      <c r="O136" s="34" t="n">
        <v>0</v>
      </c>
    </row>
    <row r="137" customFormat="false" ht="15" hidden="false" customHeight="true" outlineLevel="0" collapsed="false">
      <c r="A137" s="30" t="s">
        <v>191</v>
      </c>
      <c r="B137" s="30" t="s">
        <v>33</v>
      </c>
      <c r="C137" s="18" t="n">
        <v>2</v>
      </c>
      <c r="D137" s="18" t="s">
        <v>63</v>
      </c>
      <c r="E137" s="18" t="s">
        <v>64</v>
      </c>
      <c r="F137" s="31" t="n">
        <v>502</v>
      </c>
      <c r="G137" s="31" t="n">
        <v>465</v>
      </c>
      <c r="H137" s="18" t="n">
        <v>2</v>
      </c>
      <c r="I137" s="32" t="n">
        <v>2</v>
      </c>
      <c r="J137" s="32" t="n">
        <v>0</v>
      </c>
      <c r="K137" s="32" t="n">
        <v>33</v>
      </c>
      <c r="L137" s="31" t="n">
        <f aca="false">H137+I137+J137+K137</f>
        <v>37</v>
      </c>
      <c r="M137" s="32" t="n">
        <v>0</v>
      </c>
      <c r="N137" s="33" t="n">
        <f aca="false">L137+M137</f>
        <v>37</v>
      </c>
      <c r="O137" s="34" t="n">
        <v>2</v>
      </c>
    </row>
    <row r="138" customFormat="false" ht="15" hidden="false" customHeight="true" outlineLevel="0" collapsed="false">
      <c r="A138" s="30" t="s">
        <v>192</v>
      </c>
      <c r="B138" s="30" t="s">
        <v>33</v>
      </c>
      <c r="C138" s="18" t="n">
        <v>2</v>
      </c>
      <c r="D138" s="18" t="s">
        <v>63</v>
      </c>
      <c r="E138" s="18" t="s">
        <v>64</v>
      </c>
      <c r="F138" s="31" t="n">
        <v>502</v>
      </c>
      <c r="G138" s="31" t="n">
        <v>468</v>
      </c>
      <c r="H138" s="18" t="n">
        <v>0</v>
      </c>
      <c r="I138" s="32" t="n">
        <v>1</v>
      </c>
      <c r="J138" s="32" t="n">
        <v>0</v>
      </c>
      <c r="K138" s="32" t="n">
        <v>33</v>
      </c>
      <c r="L138" s="31" t="n">
        <f aca="false">H138+I138+J138+K138</f>
        <v>34</v>
      </c>
      <c r="M138" s="32" t="n">
        <v>0</v>
      </c>
      <c r="N138" s="33" t="n">
        <f aca="false">L138+M138</f>
        <v>34</v>
      </c>
      <c r="O138" s="34" t="n">
        <v>0</v>
      </c>
    </row>
    <row r="139" customFormat="false" ht="15" hidden="false" customHeight="true" outlineLevel="0" collapsed="false">
      <c r="A139" s="30" t="s">
        <v>193</v>
      </c>
      <c r="B139" s="30" t="s">
        <v>33</v>
      </c>
      <c r="C139" s="18" t="n">
        <v>2</v>
      </c>
      <c r="D139" s="18" t="s">
        <v>63</v>
      </c>
      <c r="E139" s="18" t="s">
        <v>194</v>
      </c>
      <c r="F139" s="31" t="n">
        <v>502</v>
      </c>
      <c r="G139" s="31" t="n">
        <v>316</v>
      </c>
      <c r="H139" s="18" t="n">
        <v>154</v>
      </c>
      <c r="I139" s="32" t="n">
        <v>0</v>
      </c>
      <c r="J139" s="32" t="n">
        <v>0</v>
      </c>
      <c r="K139" s="32" t="n">
        <v>32</v>
      </c>
      <c r="L139" s="31" t="n">
        <f aca="false">H139+I139+J139+K139</f>
        <v>186</v>
      </c>
      <c r="M139" s="32" t="n">
        <v>0</v>
      </c>
      <c r="N139" s="33" t="n">
        <f aca="false">L139+M139</f>
        <v>186</v>
      </c>
      <c r="O139" s="34" t="n">
        <v>3</v>
      </c>
    </row>
    <row r="140" customFormat="false" ht="15" hidden="false" customHeight="true" outlineLevel="0" collapsed="false">
      <c r="A140" s="30" t="s">
        <v>195</v>
      </c>
      <c r="B140" s="30" t="s">
        <v>33</v>
      </c>
      <c r="C140" s="18" t="n">
        <v>2</v>
      </c>
      <c r="D140" s="18" t="s">
        <v>63</v>
      </c>
      <c r="E140" s="18" t="s">
        <v>64</v>
      </c>
      <c r="F140" s="31" t="n">
        <v>502</v>
      </c>
      <c r="G140" s="31" t="n">
        <v>463</v>
      </c>
      <c r="H140" s="18" t="n">
        <v>0</v>
      </c>
      <c r="I140" s="32" t="n">
        <v>4</v>
      </c>
      <c r="J140" s="32" t="n">
        <v>0</v>
      </c>
      <c r="K140" s="32" t="n">
        <v>35</v>
      </c>
      <c r="L140" s="31" t="n">
        <f aca="false">H140+I140+J140+K140</f>
        <v>39</v>
      </c>
      <c r="M140" s="32" t="n">
        <v>0</v>
      </c>
      <c r="N140" s="33" t="n">
        <f aca="false">L140+M140</f>
        <v>39</v>
      </c>
      <c r="O140" s="34" t="n">
        <v>0</v>
      </c>
    </row>
    <row r="141" customFormat="false" ht="15" hidden="false" customHeight="true" outlineLevel="0" collapsed="false">
      <c r="A141" s="30" t="s">
        <v>196</v>
      </c>
      <c r="B141" s="30" t="s">
        <v>34</v>
      </c>
      <c r="C141" s="18" t="n">
        <v>0</v>
      </c>
      <c r="D141" s="18" t="s">
        <v>63</v>
      </c>
      <c r="E141" s="18" t="s">
        <v>64</v>
      </c>
      <c r="F141" s="31" t="n">
        <v>508</v>
      </c>
      <c r="G141" s="31" t="n">
        <v>450</v>
      </c>
      <c r="H141" s="18" t="n">
        <v>8</v>
      </c>
      <c r="I141" s="32" t="n">
        <v>20</v>
      </c>
      <c r="J141" s="32" t="n">
        <v>0</v>
      </c>
      <c r="K141" s="32" t="n">
        <v>30</v>
      </c>
      <c r="L141" s="31" t="n">
        <f aca="false">H141+I141+J141+K141</f>
        <v>58</v>
      </c>
      <c r="M141" s="32" t="n">
        <v>0</v>
      </c>
      <c r="N141" s="33" t="n">
        <f aca="false">L141+M141</f>
        <v>58</v>
      </c>
      <c r="O141" s="34" t="n">
        <v>1</v>
      </c>
    </row>
    <row r="142" customFormat="false" ht="15" hidden="false" customHeight="true" outlineLevel="0" collapsed="false">
      <c r="A142" s="30" t="s">
        <v>197</v>
      </c>
      <c r="B142" s="30" t="s">
        <v>34</v>
      </c>
      <c r="C142" s="18" t="n">
        <v>0</v>
      </c>
      <c r="D142" s="18" t="s">
        <v>63</v>
      </c>
      <c r="E142" s="18" t="s">
        <v>64</v>
      </c>
      <c r="F142" s="31" t="n">
        <v>508</v>
      </c>
      <c r="G142" s="31" t="n">
        <v>456</v>
      </c>
      <c r="H142" s="18" t="n">
        <v>8</v>
      </c>
      <c r="I142" s="32" t="n">
        <v>14</v>
      </c>
      <c r="J142" s="32" t="n">
        <v>0</v>
      </c>
      <c r="K142" s="32" t="n">
        <v>30</v>
      </c>
      <c r="L142" s="31" t="n">
        <f aca="false">H142+I142+J142+K142</f>
        <v>52</v>
      </c>
      <c r="M142" s="32" t="n">
        <v>0</v>
      </c>
      <c r="N142" s="33" t="n">
        <f aca="false">L142+M142</f>
        <v>52</v>
      </c>
      <c r="O142" s="34" t="n">
        <v>0</v>
      </c>
    </row>
    <row r="143" customFormat="false" ht="15" hidden="false" customHeight="true" outlineLevel="0" collapsed="false">
      <c r="A143" s="30" t="s">
        <v>198</v>
      </c>
      <c r="B143" s="30" t="s">
        <v>34</v>
      </c>
      <c r="C143" s="18" t="n">
        <v>0</v>
      </c>
      <c r="D143" s="18" t="s">
        <v>63</v>
      </c>
      <c r="E143" s="18" t="s">
        <v>64</v>
      </c>
      <c r="F143" s="31" t="n">
        <v>508</v>
      </c>
      <c r="G143" s="31" t="n">
        <v>452</v>
      </c>
      <c r="H143" s="18" t="n">
        <v>8</v>
      </c>
      <c r="I143" s="32" t="n">
        <v>19</v>
      </c>
      <c r="J143" s="32" t="n">
        <v>0</v>
      </c>
      <c r="K143" s="32" t="n">
        <v>29</v>
      </c>
      <c r="L143" s="31" t="n">
        <f aca="false">H143+I143+J143+K143</f>
        <v>56</v>
      </c>
      <c r="M143" s="32" t="n">
        <v>0</v>
      </c>
      <c r="N143" s="33" t="n">
        <f aca="false">L143+M143</f>
        <v>56</v>
      </c>
      <c r="O143" s="34" t="n">
        <v>1</v>
      </c>
    </row>
    <row r="144" customFormat="false" ht="15" hidden="false" customHeight="true" outlineLevel="0" collapsed="false">
      <c r="A144" s="30" t="s">
        <v>199</v>
      </c>
      <c r="B144" s="30" t="s">
        <v>34</v>
      </c>
      <c r="C144" s="18" t="n">
        <v>0</v>
      </c>
      <c r="D144" s="18" t="s">
        <v>63</v>
      </c>
      <c r="E144" s="18" t="s">
        <v>64</v>
      </c>
      <c r="F144" s="31" t="n">
        <v>508</v>
      </c>
      <c r="G144" s="31" t="n">
        <v>460</v>
      </c>
      <c r="H144" s="18" t="n">
        <v>8</v>
      </c>
      <c r="I144" s="32" t="n">
        <v>11</v>
      </c>
      <c r="J144" s="32" t="n">
        <v>0</v>
      </c>
      <c r="K144" s="32" t="n">
        <v>29</v>
      </c>
      <c r="L144" s="31" t="n">
        <f aca="false">H144+I144+J144+K144</f>
        <v>48</v>
      </c>
      <c r="M144" s="32" t="n">
        <v>0</v>
      </c>
      <c r="N144" s="33" t="n">
        <f aca="false">L144+M144</f>
        <v>48</v>
      </c>
      <c r="O144" s="34" t="n">
        <v>1</v>
      </c>
    </row>
    <row r="145" customFormat="false" ht="15" hidden="false" customHeight="true" outlineLevel="0" collapsed="false">
      <c r="A145" s="30" t="s">
        <v>200</v>
      </c>
      <c r="B145" s="30" t="s">
        <v>34</v>
      </c>
      <c r="C145" s="18" t="n">
        <v>0</v>
      </c>
      <c r="D145" s="18" t="s">
        <v>63</v>
      </c>
      <c r="E145" s="18" t="s">
        <v>64</v>
      </c>
      <c r="F145" s="31" t="n">
        <v>508</v>
      </c>
      <c r="G145" s="31" t="n">
        <v>460</v>
      </c>
      <c r="H145" s="18" t="n">
        <v>8</v>
      </c>
      <c r="I145" s="32" t="n">
        <v>10</v>
      </c>
      <c r="J145" s="32" t="n">
        <v>0</v>
      </c>
      <c r="K145" s="32" t="n">
        <v>30</v>
      </c>
      <c r="L145" s="31" t="n">
        <f aca="false">H145+I145+J145+K145</f>
        <v>48</v>
      </c>
      <c r="M145" s="32" t="n">
        <v>0</v>
      </c>
      <c r="N145" s="33" t="n">
        <f aca="false">L145+M145</f>
        <v>48</v>
      </c>
      <c r="O145" s="34" t="n">
        <v>0</v>
      </c>
    </row>
    <row r="146" customFormat="false" ht="15" hidden="false" customHeight="true" outlineLevel="0" collapsed="false">
      <c r="A146" s="30" t="s">
        <v>201</v>
      </c>
      <c r="B146" s="30" t="s">
        <v>34</v>
      </c>
      <c r="C146" s="18" t="n">
        <v>0</v>
      </c>
      <c r="D146" s="18" t="s">
        <v>63</v>
      </c>
      <c r="E146" s="18" t="s">
        <v>54</v>
      </c>
      <c r="F146" s="31" t="n">
        <v>508</v>
      </c>
      <c r="G146" s="31" t="n">
        <v>456</v>
      </c>
      <c r="H146" s="18" t="n">
        <v>12</v>
      </c>
      <c r="I146" s="32" t="n">
        <v>10</v>
      </c>
      <c r="J146" s="32" t="n">
        <v>0</v>
      </c>
      <c r="K146" s="32" t="n">
        <v>30</v>
      </c>
      <c r="L146" s="31" t="n">
        <f aca="false">H146+I146+J146+K146</f>
        <v>52</v>
      </c>
      <c r="M146" s="32" t="n">
        <v>0</v>
      </c>
      <c r="N146" s="33" t="n">
        <f aca="false">L146+M146</f>
        <v>52</v>
      </c>
      <c r="O146" s="34" t="n">
        <v>0</v>
      </c>
    </row>
    <row r="147" customFormat="false" ht="15" hidden="false" customHeight="true" outlineLevel="0" collapsed="false">
      <c r="A147" s="30" t="s">
        <v>202</v>
      </c>
      <c r="B147" s="30" t="s">
        <v>34</v>
      </c>
      <c r="C147" s="18" t="n">
        <v>0</v>
      </c>
      <c r="D147" s="18" t="s">
        <v>63</v>
      </c>
      <c r="E147" s="18" t="s">
        <v>54</v>
      </c>
      <c r="F147" s="31" t="n">
        <v>508</v>
      </c>
      <c r="G147" s="31" t="n">
        <v>459</v>
      </c>
      <c r="H147" s="18" t="n">
        <v>8</v>
      </c>
      <c r="I147" s="32" t="n">
        <v>11</v>
      </c>
      <c r="J147" s="32" t="n">
        <v>0</v>
      </c>
      <c r="K147" s="32" t="n">
        <v>30</v>
      </c>
      <c r="L147" s="31" t="n">
        <f aca="false">H147+I147+J147+K147</f>
        <v>49</v>
      </c>
      <c r="M147" s="32" t="n">
        <v>0</v>
      </c>
      <c r="N147" s="33" t="n">
        <f aca="false">L147+M147</f>
        <v>49</v>
      </c>
      <c r="O147" s="34" t="n">
        <v>0</v>
      </c>
    </row>
    <row r="148" customFormat="false" ht="15" hidden="false" customHeight="true" outlineLevel="0" collapsed="false">
      <c r="A148" s="30" t="s">
        <v>203</v>
      </c>
      <c r="B148" s="30" t="s">
        <v>34</v>
      </c>
      <c r="C148" s="18" t="n">
        <v>0</v>
      </c>
      <c r="D148" s="18" t="s">
        <v>63</v>
      </c>
      <c r="E148" s="18" t="s">
        <v>64</v>
      </c>
      <c r="F148" s="31" t="n">
        <v>508</v>
      </c>
      <c r="G148" s="31" t="n">
        <v>459</v>
      </c>
      <c r="H148" s="18" t="n">
        <v>8</v>
      </c>
      <c r="I148" s="32" t="n">
        <v>11</v>
      </c>
      <c r="J148" s="32" t="n">
        <v>0</v>
      </c>
      <c r="K148" s="32" t="n">
        <v>30</v>
      </c>
      <c r="L148" s="31" t="n">
        <f aca="false">H148+I148+J148+K148</f>
        <v>49</v>
      </c>
      <c r="M148" s="32" t="n">
        <v>0</v>
      </c>
      <c r="N148" s="33" t="n">
        <f aca="false">L148+M148</f>
        <v>49</v>
      </c>
      <c r="O148" s="34" t="n">
        <v>1</v>
      </c>
    </row>
    <row r="149" customFormat="false" ht="15" hidden="false" customHeight="true" outlineLevel="0" collapsed="false">
      <c r="A149" s="30" t="s">
        <v>204</v>
      </c>
      <c r="B149" s="30" t="s">
        <v>34</v>
      </c>
      <c r="C149" s="18" t="n">
        <v>0</v>
      </c>
      <c r="D149" s="18" t="s">
        <v>63</v>
      </c>
      <c r="E149" s="18" t="s">
        <v>64</v>
      </c>
      <c r="F149" s="31" t="n">
        <v>508</v>
      </c>
      <c r="G149" s="31" t="n">
        <v>455</v>
      </c>
      <c r="H149" s="18" t="n">
        <v>8</v>
      </c>
      <c r="I149" s="32" t="n">
        <v>15</v>
      </c>
      <c r="J149" s="32" t="n">
        <v>0</v>
      </c>
      <c r="K149" s="32" t="n">
        <v>30</v>
      </c>
      <c r="L149" s="31" t="n">
        <f aca="false">H149+I149+J149+K149</f>
        <v>53</v>
      </c>
      <c r="M149" s="32" t="n">
        <v>0</v>
      </c>
      <c r="N149" s="33" t="n">
        <f aca="false">L149+M149</f>
        <v>53</v>
      </c>
      <c r="O149" s="34" t="n">
        <v>0</v>
      </c>
    </row>
    <row r="150" customFormat="false" ht="15" hidden="false" customHeight="true" outlineLevel="0" collapsed="false">
      <c r="A150" s="30" t="s">
        <v>205</v>
      </c>
      <c r="B150" s="30" t="s">
        <v>34</v>
      </c>
      <c r="C150" s="18" t="n">
        <v>0</v>
      </c>
      <c r="D150" s="18" t="s">
        <v>63</v>
      </c>
      <c r="E150" s="18" t="s">
        <v>64</v>
      </c>
      <c r="F150" s="31" t="n">
        <v>508</v>
      </c>
      <c r="G150" s="31" t="n">
        <v>465</v>
      </c>
      <c r="H150" s="18" t="n">
        <v>8</v>
      </c>
      <c r="I150" s="32" t="n">
        <v>6</v>
      </c>
      <c r="J150" s="32" t="n">
        <v>0</v>
      </c>
      <c r="K150" s="32" t="n">
        <v>29</v>
      </c>
      <c r="L150" s="31" t="n">
        <f aca="false">H150+I150+J150+K150</f>
        <v>43</v>
      </c>
      <c r="M150" s="32" t="n">
        <v>0</v>
      </c>
      <c r="N150" s="33" t="n">
        <f aca="false">L150+M150</f>
        <v>43</v>
      </c>
      <c r="O150" s="34" t="n">
        <v>0</v>
      </c>
    </row>
    <row r="151" customFormat="false" ht="15" hidden="false" customHeight="true" outlineLevel="0" collapsed="false">
      <c r="A151" s="30" t="s">
        <v>206</v>
      </c>
      <c r="B151" s="30" t="s">
        <v>34</v>
      </c>
      <c r="C151" s="18" t="n">
        <v>0</v>
      </c>
      <c r="D151" s="18" t="s">
        <v>63</v>
      </c>
      <c r="E151" s="18" t="s">
        <v>64</v>
      </c>
      <c r="F151" s="31" t="n">
        <v>508</v>
      </c>
      <c r="G151" s="31" t="n">
        <v>458</v>
      </c>
      <c r="H151" s="18" t="n">
        <v>8</v>
      </c>
      <c r="I151" s="32" t="n">
        <v>12</v>
      </c>
      <c r="J151" s="32" t="n">
        <v>0</v>
      </c>
      <c r="K151" s="32" t="n">
        <v>30</v>
      </c>
      <c r="L151" s="31" t="n">
        <f aca="false">H151+I151+J151+K151</f>
        <v>50</v>
      </c>
      <c r="M151" s="32" t="n">
        <v>0</v>
      </c>
      <c r="N151" s="33" t="n">
        <f aca="false">L151+M151</f>
        <v>50</v>
      </c>
      <c r="O151" s="34" t="n">
        <v>0</v>
      </c>
    </row>
    <row r="152" customFormat="false" ht="15" hidden="false" customHeight="true" outlineLevel="0" collapsed="false">
      <c r="A152" s="30" t="s">
        <v>207</v>
      </c>
      <c r="B152" s="30" t="s">
        <v>34</v>
      </c>
      <c r="C152" s="18" t="n">
        <v>0</v>
      </c>
      <c r="D152" s="18" t="s">
        <v>63</v>
      </c>
      <c r="E152" s="18" t="s">
        <v>64</v>
      </c>
      <c r="F152" s="31" t="n">
        <v>508</v>
      </c>
      <c r="G152" s="31" t="n">
        <v>455</v>
      </c>
      <c r="H152" s="18" t="n">
        <v>8</v>
      </c>
      <c r="I152" s="32" t="n">
        <v>16</v>
      </c>
      <c r="J152" s="32" t="n">
        <v>0</v>
      </c>
      <c r="K152" s="32" t="n">
        <v>29</v>
      </c>
      <c r="L152" s="31" t="n">
        <f aca="false">H152+I152+J152+K152</f>
        <v>53</v>
      </c>
      <c r="M152" s="32" t="n">
        <v>0</v>
      </c>
      <c r="N152" s="33" t="n">
        <f aca="false">L152+M152</f>
        <v>53</v>
      </c>
      <c r="O152" s="34" t="n">
        <v>0</v>
      </c>
    </row>
    <row r="153" customFormat="false" ht="15" hidden="false" customHeight="true" outlineLevel="0" collapsed="false">
      <c r="A153" s="30" t="s">
        <v>208</v>
      </c>
      <c r="B153" s="30" t="s">
        <v>34</v>
      </c>
      <c r="C153" s="18" t="n">
        <v>1</v>
      </c>
      <c r="D153" s="18" t="s">
        <v>63</v>
      </c>
      <c r="E153" s="18" t="s">
        <v>64</v>
      </c>
      <c r="F153" s="31" t="n">
        <v>502</v>
      </c>
      <c r="G153" s="31" t="n">
        <v>457</v>
      </c>
      <c r="H153" s="18" t="n">
        <v>0</v>
      </c>
      <c r="I153" s="32" t="n">
        <v>15</v>
      </c>
      <c r="J153" s="32" t="n">
        <v>0</v>
      </c>
      <c r="K153" s="32" t="n">
        <v>30</v>
      </c>
      <c r="L153" s="31" t="n">
        <f aca="false">H153+I153+J153+K153</f>
        <v>45</v>
      </c>
      <c r="M153" s="32" t="n">
        <v>0</v>
      </c>
      <c r="N153" s="33" t="n">
        <f aca="false">L153+M153</f>
        <v>45</v>
      </c>
      <c r="O153" s="34" t="n">
        <v>0</v>
      </c>
    </row>
    <row r="154" customFormat="false" ht="15" hidden="false" customHeight="true" outlineLevel="0" collapsed="false">
      <c r="A154" s="30" t="s">
        <v>209</v>
      </c>
      <c r="B154" s="30" t="s">
        <v>34</v>
      </c>
      <c r="C154" s="18" t="n">
        <v>1</v>
      </c>
      <c r="D154" s="18" t="s">
        <v>63</v>
      </c>
      <c r="E154" s="18" t="s">
        <v>54</v>
      </c>
      <c r="F154" s="31" t="n">
        <v>502</v>
      </c>
      <c r="G154" s="31" t="n">
        <v>458</v>
      </c>
      <c r="H154" s="18" t="n">
        <v>4</v>
      </c>
      <c r="I154" s="32" t="n">
        <v>0</v>
      </c>
      <c r="J154" s="32" t="n">
        <v>0</v>
      </c>
      <c r="K154" s="32" t="n">
        <v>40</v>
      </c>
      <c r="L154" s="31" t="n">
        <f aca="false">H154+I154+J154+K154</f>
        <v>44</v>
      </c>
      <c r="M154" s="32" t="n">
        <v>0</v>
      </c>
      <c r="N154" s="33" t="n">
        <f aca="false">L154+M154</f>
        <v>44</v>
      </c>
      <c r="O154" s="34" t="n">
        <v>0</v>
      </c>
    </row>
    <row r="155" customFormat="false" ht="15" hidden="false" customHeight="true" outlineLevel="0" collapsed="false">
      <c r="A155" s="30" t="s">
        <v>210</v>
      </c>
      <c r="B155" s="30" t="s">
        <v>34</v>
      </c>
      <c r="C155" s="18" t="n">
        <v>1</v>
      </c>
      <c r="D155" s="18" t="s">
        <v>63</v>
      </c>
      <c r="E155" s="18" t="s">
        <v>54</v>
      </c>
      <c r="F155" s="31" t="n">
        <v>502</v>
      </c>
      <c r="G155" s="31" t="n">
        <v>458</v>
      </c>
      <c r="H155" s="18" t="n">
        <v>4</v>
      </c>
      <c r="I155" s="32" t="n">
        <v>0</v>
      </c>
      <c r="J155" s="32" t="n">
        <v>0</v>
      </c>
      <c r="K155" s="32" t="n">
        <v>40</v>
      </c>
      <c r="L155" s="31" t="n">
        <f aca="false">H155+I155+J155+K155</f>
        <v>44</v>
      </c>
      <c r="M155" s="32" t="n">
        <v>0</v>
      </c>
      <c r="N155" s="33" t="n">
        <f aca="false">L155+M155</f>
        <v>44</v>
      </c>
      <c r="O155" s="34" t="n">
        <v>0</v>
      </c>
    </row>
    <row r="156" customFormat="false" ht="15" hidden="false" customHeight="true" outlineLevel="0" collapsed="false">
      <c r="A156" s="30" t="s">
        <v>211</v>
      </c>
      <c r="B156" s="30" t="s">
        <v>34</v>
      </c>
      <c r="C156" s="18" t="n">
        <v>1</v>
      </c>
      <c r="D156" s="18" t="s">
        <v>63</v>
      </c>
      <c r="E156" s="18" t="s">
        <v>54</v>
      </c>
      <c r="F156" s="31" t="n">
        <v>502</v>
      </c>
      <c r="G156" s="31" t="n">
        <v>451</v>
      </c>
      <c r="H156" s="18" t="n">
        <v>11</v>
      </c>
      <c r="I156" s="32" t="n">
        <v>0</v>
      </c>
      <c r="J156" s="32" t="n">
        <v>0</v>
      </c>
      <c r="K156" s="32" t="n">
        <v>40</v>
      </c>
      <c r="L156" s="31" t="n">
        <f aca="false">H156+I156+J156+K156</f>
        <v>51</v>
      </c>
      <c r="M156" s="32" t="n">
        <v>0</v>
      </c>
      <c r="N156" s="33" t="n">
        <f aca="false">L156+M156</f>
        <v>51</v>
      </c>
      <c r="O156" s="34" t="n">
        <v>0</v>
      </c>
    </row>
    <row r="157" customFormat="false" ht="15" hidden="false" customHeight="true" outlineLevel="0" collapsed="false">
      <c r="A157" s="30" t="s">
        <v>212</v>
      </c>
      <c r="B157" s="30" t="s">
        <v>34</v>
      </c>
      <c r="C157" s="18" t="n">
        <v>1</v>
      </c>
      <c r="D157" s="18" t="s">
        <v>63</v>
      </c>
      <c r="E157" s="18" t="s">
        <v>54</v>
      </c>
      <c r="F157" s="31" t="n">
        <v>502</v>
      </c>
      <c r="G157" s="31" t="n">
        <v>459</v>
      </c>
      <c r="H157" s="18" t="n">
        <v>4</v>
      </c>
      <c r="I157" s="32" t="n">
        <v>0</v>
      </c>
      <c r="J157" s="32" t="n">
        <v>0</v>
      </c>
      <c r="K157" s="32" t="n">
        <v>39</v>
      </c>
      <c r="L157" s="31" t="n">
        <f aca="false">H157+I157+J157+K157</f>
        <v>43</v>
      </c>
      <c r="M157" s="32" t="n">
        <v>0</v>
      </c>
      <c r="N157" s="33" t="n">
        <f aca="false">L157+M157</f>
        <v>43</v>
      </c>
      <c r="O157" s="34" t="n">
        <v>0</v>
      </c>
    </row>
    <row r="158" customFormat="false" ht="15" hidden="false" customHeight="true" outlineLevel="0" collapsed="false">
      <c r="A158" s="30" t="s">
        <v>213</v>
      </c>
      <c r="B158" s="30" t="s">
        <v>34</v>
      </c>
      <c r="C158" s="18" t="n">
        <v>1</v>
      </c>
      <c r="D158" s="18" t="s">
        <v>63</v>
      </c>
      <c r="E158" s="18" t="s">
        <v>54</v>
      </c>
      <c r="F158" s="31" t="n">
        <v>502</v>
      </c>
      <c r="G158" s="31" t="n">
        <v>475</v>
      </c>
      <c r="H158" s="18" t="n">
        <v>4</v>
      </c>
      <c r="I158" s="32" t="n">
        <v>0</v>
      </c>
      <c r="J158" s="32" t="n">
        <v>0</v>
      </c>
      <c r="K158" s="32" t="n">
        <v>23</v>
      </c>
      <c r="L158" s="31" t="n">
        <f aca="false">H158+I158+J158+K158</f>
        <v>27</v>
      </c>
      <c r="M158" s="32" t="n">
        <v>0</v>
      </c>
      <c r="N158" s="33" t="n">
        <f aca="false">L158+M158</f>
        <v>27</v>
      </c>
      <c r="O158" s="34" t="n">
        <v>0</v>
      </c>
    </row>
    <row r="159" customFormat="false" ht="15" hidden="false" customHeight="true" outlineLevel="0" collapsed="false">
      <c r="A159" s="30" t="s">
        <v>214</v>
      </c>
      <c r="B159" s="30" t="s">
        <v>34</v>
      </c>
      <c r="C159" s="18" t="n">
        <v>1</v>
      </c>
      <c r="D159" s="18" t="s">
        <v>63</v>
      </c>
      <c r="E159" s="18" t="s">
        <v>64</v>
      </c>
      <c r="F159" s="31" t="n">
        <v>502</v>
      </c>
      <c r="G159" s="31" t="n">
        <v>458</v>
      </c>
      <c r="H159" s="18" t="n">
        <v>4</v>
      </c>
      <c r="I159" s="32" t="n">
        <v>0</v>
      </c>
      <c r="J159" s="32" t="n">
        <v>0</v>
      </c>
      <c r="K159" s="32" t="n">
        <v>40</v>
      </c>
      <c r="L159" s="31" t="n">
        <f aca="false">H159+I159+J159+K159</f>
        <v>44</v>
      </c>
      <c r="M159" s="32" t="n">
        <v>0</v>
      </c>
      <c r="N159" s="33" t="n">
        <f aca="false">L159+M159</f>
        <v>44</v>
      </c>
      <c r="O159" s="34" t="n">
        <v>1</v>
      </c>
    </row>
    <row r="160" customFormat="false" ht="15" hidden="false" customHeight="true" outlineLevel="0" collapsed="false">
      <c r="A160" s="30" t="s">
        <v>215</v>
      </c>
      <c r="B160" s="30" t="s">
        <v>34</v>
      </c>
      <c r="C160" s="18" t="n">
        <v>1</v>
      </c>
      <c r="D160" s="18" t="s">
        <v>63</v>
      </c>
      <c r="E160" s="18" t="s">
        <v>64</v>
      </c>
      <c r="F160" s="31" t="n">
        <v>502</v>
      </c>
      <c r="G160" s="31" t="n">
        <v>459</v>
      </c>
      <c r="H160" s="18" t="n">
        <v>4</v>
      </c>
      <c r="I160" s="32" t="n">
        <v>0</v>
      </c>
      <c r="J160" s="32" t="n">
        <v>0</v>
      </c>
      <c r="K160" s="32" t="n">
        <v>39</v>
      </c>
      <c r="L160" s="31" t="n">
        <f aca="false">H160+I160+J160+K160</f>
        <v>43</v>
      </c>
      <c r="M160" s="32" t="n">
        <v>0</v>
      </c>
      <c r="N160" s="33" t="n">
        <f aca="false">L160+M160</f>
        <v>43</v>
      </c>
      <c r="O160" s="34" t="n">
        <v>1</v>
      </c>
    </row>
    <row r="161" customFormat="false" ht="15" hidden="false" customHeight="true" outlineLevel="0" collapsed="false">
      <c r="A161" s="30" t="s">
        <v>216</v>
      </c>
      <c r="B161" s="30" t="s">
        <v>34</v>
      </c>
      <c r="C161" s="18" t="n">
        <v>1</v>
      </c>
      <c r="D161" s="18" t="s">
        <v>63</v>
      </c>
      <c r="E161" s="18" t="s">
        <v>54</v>
      </c>
      <c r="F161" s="31" t="n">
        <v>502</v>
      </c>
      <c r="G161" s="31" t="n">
        <v>458</v>
      </c>
      <c r="H161" s="18" t="n">
        <v>4</v>
      </c>
      <c r="I161" s="32" t="n">
        <v>0</v>
      </c>
      <c r="J161" s="32" t="n">
        <v>0</v>
      </c>
      <c r="K161" s="32" t="n">
        <v>40</v>
      </c>
      <c r="L161" s="31" t="n">
        <f aca="false">H161+I161+J161+K161</f>
        <v>44</v>
      </c>
      <c r="M161" s="32" t="n">
        <v>0</v>
      </c>
      <c r="N161" s="33" t="n">
        <f aca="false">L161+M161</f>
        <v>44</v>
      </c>
      <c r="O161" s="34" t="n">
        <v>0</v>
      </c>
    </row>
    <row r="162" customFormat="false" ht="15" hidden="false" customHeight="true" outlineLevel="0" collapsed="false">
      <c r="A162" s="30" t="s">
        <v>217</v>
      </c>
      <c r="B162" s="30" t="s">
        <v>34</v>
      </c>
      <c r="C162" s="18" t="n">
        <v>1</v>
      </c>
      <c r="D162" s="18" t="s">
        <v>63</v>
      </c>
      <c r="E162" s="18" t="s">
        <v>54</v>
      </c>
      <c r="F162" s="31" t="n">
        <v>502</v>
      </c>
      <c r="G162" s="31" t="n">
        <v>458</v>
      </c>
      <c r="H162" s="18" t="n">
        <v>4</v>
      </c>
      <c r="I162" s="32" t="n">
        <v>0</v>
      </c>
      <c r="J162" s="32" t="n">
        <v>0</v>
      </c>
      <c r="K162" s="32" t="n">
        <v>40</v>
      </c>
      <c r="L162" s="31" t="n">
        <f aca="false">H162+I162+J162+K162</f>
        <v>44</v>
      </c>
      <c r="M162" s="32" t="n">
        <v>0</v>
      </c>
      <c r="N162" s="33" t="n">
        <f aca="false">L162+M162</f>
        <v>44</v>
      </c>
      <c r="O162" s="34" t="n">
        <v>0</v>
      </c>
    </row>
    <row r="163" customFormat="false" ht="15" hidden="false" customHeight="true" outlineLevel="0" collapsed="false">
      <c r="A163" s="30" t="s">
        <v>218</v>
      </c>
      <c r="B163" s="30" t="s">
        <v>34</v>
      </c>
      <c r="C163" s="18" t="n">
        <v>1</v>
      </c>
      <c r="D163" s="18" t="s">
        <v>63</v>
      </c>
      <c r="E163" s="18" t="s">
        <v>64</v>
      </c>
      <c r="F163" s="31" t="n">
        <v>502</v>
      </c>
      <c r="G163" s="31" t="n">
        <v>458</v>
      </c>
      <c r="H163" s="18" t="n">
        <v>4</v>
      </c>
      <c r="I163" s="32" t="n">
        <v>0</v>
      </c>
      <c r="J163" s="32" t="n">
        <v>0</v>
      </c>
      <c r="K163" s="32" t="n">
        <v>40</v>
      </c>
      <c r="L163" s="31" t="n">
        <f aca="false">H163+I163+J163+K163</f>
        <v>44</v>
      </c>
      <c r="M163" s="32" t="n">
        <v>0</v>
      </c>
      <c r="N163" s="33" t="n">
        <f aca="false">L163+M163</f>
        <v>44</v>
      </c>
      <c r="O163" s="34" t="n">
        <v>1</v>
      </c>
    </row>
    <row r="164" customFormat="false" ht="15" hidden="false" customHeight="true" outlineLevel="0" collapsed="false">
      <c r="A164" s="30" t="s">
        <v>219</v>
      </c>
      <c r="B164" s="30" t="s">
        <v>34</v>
      </c>
      <c r="C164" s="18" t="n">
        <v>1</v>
      </c>
      <c r="D164" s="18" t="s">
        <v>63</v>
      </c>
      <c r="E164" s="18" t="s">
        <v>54</v>
      </c>
      <c r="F164" s="31" t="n">
        <v>502</v>
      </c>
      <c r="G164" s="31" t="n">
        <v>474</v>
      </c>
      <c r="H164" s="18" t="n">
        <v>4</v>
      </c>
      <c r="I164" s="32" t="n">
        <v>0</v>
      </c>
      <c r="J164" s="32" t="n">
        <v>0</v>
      </c>
      <c r="K164" s="32" t="n">
        <v>24</v>
      </c>
      <c r="L164" s="31" t="n">
        <f aca="false">H164+I164+J164+K164</f>
        <v>28</v>
      </c>
      <c r="M164" s="32" t="n">
        <v>0</v>
      </c>
      <c r="N164" s="33" t="n">
        <f aca="false">L164+M164</f>
        <v>28</v>
      </c>
      <c r="O164" s="34" t="n">
        <v>0</v>
      </c>
    </row>
    <row r="165" customFormat="false" ht="15" hidden="false" customHeight="true" outlineLevel="0" collapsed="false">
      <c r="A165" s="30" t="s">
        <v>220</v>
      </c>
      <c r="B165" s="30" t="s">
        <v>34</v>
      </c>
      <c r="C165" s="18" t="n">
        <v>2</v>
      </c>
      <c r="D165" s="18" t="s">
        <v>53</v>
      </c>
      <c r="E165" s="18" t="s">
        <v>58</v>
      </c>
      <c r="F165" s="31" t="n">
        <v>502</v>
      </c>
      <c r="G165" s="31" t="n">
        <v>502</v>
      </c>
      <c r="H165" s="18" t="n">
        <v>0</v>
      </c>
      <c r="I165" s="32" t="n">
        <v>0</v>
      </c>
      <c r="J165" s="32" t="n">
        <v>0</v>
      </c>
      <c r="K165" s="32" t="n">
        <v>0</v>
      </c>
      <c r="L165" s="31" t="n">
        <f aca="false">H165+I165+J165+K165</f>
        <v>0</v>
      </c>
      <c r="M165" s="32" t="n">
        <v>0</v>
      </c>
      <c r="N165" s="33" t="n">
        <f aca="false">L165+M165</f>
        <v>0</v>
      </c>
      <c r="O165" s="34" t="n">
        <v>0</v>
      </c>
    </row>
    <row r="166" customFormat="false" ht="15" hidden="false" customHeight="true" outlineLevel="0" collapsed="false">
      <c r="A166" s="30" t="s">
        <v>221</v>
      </c>
      <c r="B166" s="30" t="s">
        <v>34</v>
      </c>
      <c r="C166" s="18" t="n">
        <v>2</v>
      </c>
      <c r="D166" s="18" t="s">
        <v>53</v>
      </c>
      <c r="E166" s="18" t="s">
        <v>58</v>
      </c>
      <c r="F166" s="31" t="n">
        <v>502</v>
      </c>
      <c r="G166" s="31" t="n">
        <v>372</v>
      </c>
      <c r="H166" s="18" t="n">
        <v>76</v>
      </c>
      <c r="I166" s="32" t="n">
        <v>0</v>
      </c>
      <c r="J166" s="32" t="n">
        <v>0</v>
      </c>
      <c r="K166" s="32" t="n">
        <v>54</v>
      </c>
      <c r="L166" s="31" t="n">
        <f aca="false">H166+I166+J166+K166</f>
        <v>130</v>
      </c>
      <c r="M166" s="32" t="n">
        <v>4</v>
      </c>
      <c r="N166" s="33" t="n">
        <f aca="false">L166+M166</f>
        <v>134</v>
      </c>
      <c r="O166" s="34" t="n">
        <v>5</v>
      </c>
    </row>
    <row r="167" customFormat="false" ht="15" hidden="false" customHeight="true" outlineLevel="0" collapsed="false">
      <c r="A167" s="30" t="s">
        <v>222</v>
      </c>
      <c r="B167" s="30" t="s">
        <v>34</v>
      </c>
      <c r="C167" s="18" t="n">
        <v>2</v>
      </c>
      <c r="D167" s="18" t="s">
        <v>53</v>
      </c>
      <c r="E167" s="18" t="s">
        <v>58</v>
      </c>
      <c r="F167" s="31" t="n">
        <v>502</v>
      </c>
      <c r="G167" s="31" t="n">
        <v>399</v>
      </c>
      <c r="H167" s="18" t="n">
        <v>49</v>
      </c>
      <c r="I167" s="32" t="n">
        <v>0</v>
      </c>
      <c r="J167" s="32" t="n">
        <v>0</v>
      </c>
      <c r="K167" s="32" t="n">
        <v>54</v>
      </c>
      <c r="L167" s="31" t="n">
        <f aca="false">H167+I167+J167+K167</f>
        <v>103</v>
      </c>
      <c r="M167" s="32" t="n">
        <v>0</v>
      </c>
      <c r="N167" s="33" t="n">
        <f aca="false">L167+M167</f>
        <v>103</v>
      </c>
      <c r="O167" s="34" t="n">
        <v>3</v>
      </c>
    </row>
    <row r="168" customFormat="false" ht="15" hidden="false" customHeight="true" outlineLevel="0" collapsed="false">
      <c r="A168" s="30" t="s">
        <v>223</v>
      </c>
      <c r="B168" s="30" t="s">
        <v>34</v>
      </c>
      <c r="C168" s="18" t="n">
        <v>2</v>
      </c>
      <c r="D168" s="18" t="s">
        <v>53</v>
      </c>
      <c r="E168" s="18" t="s">
        <v>58</v>
      </c>
      <c r="F168" s="31" t="n">
        <v>502</v>
      </c>
      <c r="G168" s="31" t="n">
        <v>402</v>
      </c>
      <c r="H168" s="18" t="n">
        <v>46</v>
      </c>
      <c r="I168" s="32" t="n">
        <v>0</v>
      </c>
      <c r="J168" s="32" t="n">
        <v>0</v>
      </c>
      <c r="K168" s="32" t="n">
        <v>54</v>
      </c>
      <c r="L168" s="31" t="n">
        <f aca="false">H168+I168+J168+K168</f>
        <v>100</v>
      </c>
      <c r="M168" s="32" t="n">
        <v>5</v>
      </c>
      <c r="N168" s="33" t="n">
        <f aca="false">L168+M168</f>
        <v>105</v>
      </c>
      <c r="O168" s="34" t="n">
        <v>8</v>
      </c>
    </row>
    <row r="169" customFormat="false" ht="15" hidden="false" customHeight="true" outlineLevel="0" collapsed="false">
      <c r="A169" s="30" t="s">
        <v>224</v>
      </c>
      <c r="B169" s="30" t="s">
        <v>34</v>
      </c>
      <c r="C169" s="18" t="n">
        <v>2</v>
      </c>
      <c r="D169" s="18" t="s">
        <v>53</v>
      </c>
      <c r="E169" s="18" t="s">
        <v>58</v>
      </c>
      <c r="F169" s="31" t="n">
        <v>502</v>
      </c>
      <c r="G169" s="31" t="n">
        <v>401</v>
      </c>
      <c r="H169" s="18" t="n">
        <v>47</v>
      </c>
      <c r="I169" s="32" t="n">
        <v>0</v>
      </c>
      <c r="J169" s="32" t="n">
        <v>0</v>
      </c>
      <c r="K169" s="32" t="n">
        <v>54</v>
      </c>
      <c r="L169" s="31" t="n">
        <f aca="false">H169+I169+J169+K169</f>
        <v>101</v>
      </c>
      <c r="M169" s="32" t="n">
        <v>1</v>
      </c>
      <c r="N169" s="33" t="n">
        <f aca="false">L169+M169</f>
        <v>102</v>
      </c>
      <c r="O169" s="34" t="n">
        <v>2</v>
      </c>
    </row>
    <row r="170" customFormat="false" ht="15" hidden="false" customHeight="true" outlineLevel="0" collapsed="false">
      <c r="A170" s="30" t="s">
        <v>225</v>
      </c>
      <c r="B170" s="30" t="s">
        <v>34</v>
      </c>
      <c r="C170" s="18" t="n">
        <v>2</v>
      </c>
      <c r="D170" s="18" t="s">
        <v>63</v>
      </c>
      <c r="E170" s="18" t="s">
        <v>54</v>
      </c>
      <c r="F170" s="31" t="n">
        <v>502</v>
      </c>
      <c r="G170" s="31" t="n">
        <v>500</v>
      </c>
      <c r="H170" s="18" t="n">
        <v>0</v>
      </c>
      <c r="I170" s="32" t="n">
        <v>2</v>
      </c>
      <c r="J170" s="32" t="n">
        <v>0</v>
      </c>
      <c r="K170" s="32" t="n">
        <v>0</v>
      </c>
      <c r="L170" s="31" t="n">
        <f aca="false">H170+I170+J170+K170</f>
        <v>2</v>
      </c>
      <c r="M170" s="32" t="n">
        <v>0</v>
      </c>
      <c r="N170" s="33" t="n">
        <f aca="false">L170+M170</f>
        <v>2</v>
      </c>
      <c r="O170" s="34" t="n">
        <v>0</v>
      </c>
    </row>
    <row r="171" customFormat="false" ht="15" hidden="false" customHeight="true" outlineLevel="0" collapsed="false">
      <c r="A171" s="30" t="s">
        <v>226</v>
      </c>
      <c r="B171" s="30" t="s">
        <v>34</v>
      </c>
      <c r="C171" s="18" t="n">
        <v>2</v>
      </c>
      <c r="D171" s="18" t="s">
        <v>53</v>
      </c>
      <c r="E171" s="18" t="s">
        <v>58</v>
      </c>
      <c r="F171" s="31" t="n">
        <v>502</v>
      </c>
      <c r="G171" s="31" t="n">
        <v>374</v>
      </c>
      <c r="H171" s="18" t="n">
        <v>74</v>
      </c>
      <c r="I171" s="32" t="n">
        <v>0</v>
      </c>
      <c r="J171" s="32" t="n">
        <v>0</v>
      </c>
      <c r="K171" s="32" t="n">
        <v>54</v>
      </c>
      <c r="L171" s="31" t="n">
        <f aca="false">H171+I171+J171+K171</f>
        <v>128</v>
      </c>
      <c r="M171" s="32" t="n">
        <v>7</v>
      </c>
      <c r="N171" s="33" t="n">
        <f aca="false">L171+M171</f>
        <v>135</v>
      </c>
      <c r="O171" s="34" t="n">
        <v>5</v>
      </c>
    </row>
    <row r="172" customFormat="false" ht="15" hidden="false" customHeight="true" outlineLevel="0" collapsed="false">
      <c r="A172" s="30" t="s">
        <v>227</v>
      </c>
      <c r="B172" s="30" t="s">
        <v>34</v>
      </c>
      <c r="C172" s="18" t="n">
        <v>2</v>
      </c>
      <c r="D172" s="18" t="s">
        <v>53</v>
      </c>
      <c r="E172" s="18" t="s">
        <v>58</v>
      </c>
      <c r="F172" s="31" t="n">
        <v>502</v>
      </c>
      <c r="G172" s="31" t="n">
        <v>370</v>
      </c>
      <c r="H172" s="18" t="n">
        <v>78</v>
      </c>
      <c r="I172" s="32" t="n">
        <v>0</v>
      </c>
      <c r="J172" s="32" t="n">
        <v>0</v>
      </c>
      <c r="K172" s="32" t="n">
        <v>54</v>
      </c>
      <c r="L172" s="31" t="n">
        <f aca="false">H172+I172+J172+K172</f>
        <v>132</v>
      </c>
      <c r="M172" s="32" t="n">
        <v>0</v>
      </c>
      <c r="N172" s="33" t="n">
        <f aca="false">L172+M172</f>
        <v>132</v>
      </c>
      <c r="O172" s="34" t="n">
        <v>29</v>
      </c>
    </row>
    <row r="173" customFormat="false" ht="15" hidden="false" customHeight="true" outlineLevel="0" collapsed="false">
      <c r="A173" s="30" t="s">
        <v>228</v>
      </c>
      <c r="B173" s="30" t="s">
        <v>34</v>
      </c>
      <c r="C173" s="18" t="n">
        <v>2</v>
      </c>
      <c r="D173" s="18" t="s">
        <v>53</v>
      </c>
      <c r="E173" s="18" t="s">
        <v>58</v>
      </c>
      <c r="F173" s="31" t="n">
        <v>502</v>
      </c>
      <c r="G173" s="31" t="n">
        <v>347</v>
      </c>
      <c r="H173" s="18" t="n">
        <v>101</v>
      </c>
      <c r="I173" s="32" t="n">
        <v>0</v>
      </c>
      <c r="J173" s="32" t="n">
        <v>0</v>
      </c>
      <c r="K173" s="32" t="n">
        <v>54</v>
      </c>
      <c r="L173" s="31" t="n">
        <f aca="false">H173+I173+J173+K173</f>
        <v>155</v>
      </c>
      <c r="M173" s="32" t="n">
        <v>5</v>
      </c>
      <c r="N173" s="33" t="n">
        <f aca="false">L173+M173</f>
        <v>160</v>
      </c>
      <c r="O173" s="34" t="n">
        <v>16</v>
      </c>
    </row>
    <row r="174" customFormat="false" ht="15" hidden="false" customHeight="true" outlineLevel="0" collapsed="false">
      <c r="A174" s="30" t="s">
        <v>229</v>
      </c>
      <c r="B174" s="30" t="s">
        <v>34</v>
      </c>
      <c r="C174" s="18" t="n">
        <v>2</v>
      </c>
      <c r="D174" s="18" t="s">
        <v>53</v>
      </c>
      <c r="E174" s="18" t="s">
        <v>58</v>
      </c>
      <c r="F174" s="31" t="n">
        <v>502</v>
      </c>
      <c r="G174" s="31" t="n">
        <v>349</v>
      </c>
      <c r="H174" s="18" t="n">
        <v>99</v>
      </c>
      <c r="I174" s="32" t="n">
        <v>0</v>
      </c>
      <c r="J174" s="32" t="n">
        <v>0</v>
      </c>
      <c r="K174" s="32" t="n">
        <v>54</v>
      </c>
      <c r="L174" s="31" t="n">
        <f aca="false">H174+I174+J174+K174</f>
        <v>153</v>
      </c>
      <c r="M174" s="32" t="n">
        <v>2</v>
      </c>
      <c r="N174" s="33" t="n">
        <f aca="false">L174+M174</f>
        <v>155</v>
      </c>
      <c r="O174" s="34" t="n">
        <v>8</v>
      </c>
    </row>
    <row r="175" customFormat="false" ht="15" hidden="false" customHeight="true" outlineLevel="0" collapsed="false">
      <c r="A175" s="30" t="s">
        <v>230</v>
      </c>
      <c r="B175" s="30" t="s">
        <v>34</v>
      </c>
      <c r="C175" s="18" t="n">
        <v>2</v>
      </c>
      <c r="D175" s="18" t="s">
        <v>53</v>
      </c>
      <c r="E175" s="18" t="s">
        <v>58</v>
      </c>
      <c r="F175" s="31" t="n">
        <v>502</v>
      </c>
      <c r="G175" s="31" t="n">
        <v>404</v>
      </c>
      <c r="H175" s="18" t="n">
        <v>44</v>
      </c>
      <c r="I175" s="32" t="n">
        <v>0</v>
      </c>
      <c r="J175" s="32" t="n">
        <v>0</v>
      </c>
      <c r="K175" s="32" t="n">
        <v>54</v>
      </c>
      <c r="L175" s="31" t="n">
        <f aca="false">H175+I175+J175+K175</f>
        <v>98</v>
      </c>
      <c r="M175" s="32" t="n">
        <v>0</v>
      </c>
      <c r="N175" s="33" t="n">
        <f aca="false">L175+M175</f>
        <v>98</v>
      </c>
      <c r="O175" s="34" t="n">
        <v>9</v>
      </c>
    </row>
    <row r="176" customFormat="false" ht="15" hidden="false" customHeight="true" outlineLevel="0" collapsed="false">
      <c r="A176" s="30" t="s">
        <v>231</v>
      </c>
      <c r="B176" s="30" t="s">
        <v>34</v>
      </c>
      <c r="C176" s="18" t="n">
        <v>2</v>
      </c>
      <c r="D176" s="18" t="s">
        <v>53</v>
      </c>
      <c r="E176" s="18" t="s">
        <v>58</v>
      </c>
      <c r="F176" s="31" t="n">
        <v>502</v>
      </c>
      <c r="G176" s="31" t="n">
        <v>404</v>
      </c>
      <c r="H176" s="18" t="n">
        <v>44</v>
      </c>
      <c r="I176" s="32" t="n">
        <v>0</v>
      </c>
      <c r="J176" s="32" t="n">
        <v>0</v>
      </c>
      <c r="K176" s="32" t="n">
        <v>54</v>
      </c>
      <c r="L176" s="31" t="n">
        <f aca="false">H176+I176+J176+K176</f>
        <v>98</v>
      </c>
      <c r="M176" s="32" t="n">
        <v>2</v>
      </c>
      <c r="N176" s="33" t="n">
        <f aca="false">L176+M176</f>
        <v>100</v>
      </c>
      <c r="O176" s="34" t="n">
        <v>5</v>
      </c>
    </row>
    <row r="177" customFormat="false" ht="15" hidden="false" customHeight="true" outlineLevel="0" collapsed="false">
      <c r="A177" s="30" t="s">
        <v>232</v>
      </c>
      <c r="B177" s="30" t="s">
        <v>35</v>
      </c>
      <c r="C177" s="18" t="n">
        <v>0</v>
      </c>
      <c r="D177" s="18" t="s">
        <v>63</v>
      </c>
      <c r="E177" s="18" t="s">
        <v>64</v>
      </c>
      <c r="F177" s="31" t="n">
        <v>508</v>
      </c>
      <c r="G177" s="31" t="n">
        <v>458</v>
      </c>
      <c r="H177" s="18" t="n">
        <v>8</v>
      </c>
      <c r="I177" s="32" t="n">
        <v>12</v>
      </c>
      <c r="J177" s="32" t="n">
        <v>0</v>
      </c>
      <c r="K177" s="32" t="n">
        <v>30</v>
      </c>
      <c r="L177" s="31" t="n">
        <f aca="false">H177+I177+J177+K177</f>
        <v>50</v>
      </c>
      <c r="M177" s="32" t="n">
        <v>0</v>
      </c>
      <c r="N177" s="33" t="n">
        <f aca="false">L177+M177</f>
        <v>50</v>
      </c>
      <c r="O177" s="34" t="n">
        <v>0</v>
      </c>
    </row>
    <row r="178" customFormat="false" ht="15" hidden="false" customHeight="true" outlineLevel="0" collapsed="false">
      <c r="A178" s="30" t="s">
        <v>233</v>
      </c>
      <c r="B178" s="30" t="s">
        <v>35</v>
      </c>
      <c r="C178" s="18" t="n">
        <v>0</v>
      </c>
      <c r="D178" s="18" t="s">
        <v>63</v>
      </c>
      <c r="E178" s="18" t="s">
        <v>54</v>
      </c>
      <c r="F178" s="31" t="n">
        <v>508</v>
      </c>
      <c r="G178" s="31" t="n">
        <v>453</v>
      </c>
      <c r="H178" s="18" t="n">
        <v>11</v>
      </c>
      <c r="I178" s="32" t="n">
        <v>14</v>
      </c>
      <c r="J178" s="32" t="n">
        <v>0</v>
      </c>
      <c r="K178" s="32" t="n">
        <v>30</v>
      </c>
      <c r="L178" s="31" t="n">
        <f aca="false">H178+I178+J178+K178</f>
        <v>55</v>
      </c>
      <c r="M178" s="32" t="n">
        <v>0</v>
      </c>
      <c r="N178" s="33" t="n">
        <f aca="false">L178+M178</f>
        <v>55</v>
      </c>
      <c r="O178" s="34" t="n">
        <v>0</v>
      </c>
    </row>
    <row r="179" customFormat="false" ht="15" hidden="false" customHeight="true" outlineLevel="0" collapsed="false">
      <c r="A179" s="30" t="s">
        <v>234</v>
      </c>
      <c r="B179" s="30" t="s">
        <v>35</v>
      </c>
      <c r="C179" s="18" t="n">
        <v>0</v>
      </c>
      <c r="D179" s="18" t="s">
        <v>63</v>
      </c>
      <c r="E179" s="18" t="s">
        <v>64</v>
      </c>
      <c r="F179" s="31" t="n">
        <v>508</v>
      </c>
      <c r="G179" s="31" t="n">
        <v>459</v>
      </c>
      <c r="H179" s="18" t="n">
        <v>0</v>
      </c>
      <c r="I179" s="32" t="n">
        <v>9</v>
      </c>
      <c r="J179" s="32" t="n">
        <v>0</v>
      </c>
      <c r="K179" s="32" t="n">
        <v>40</v>
      </c>
      <c r="L179" s="31" t="n">
        <f aca="false">H179+I179+J179+K179</f>
        <v>49</v>
      </c>
      <c r="M179" s="32" t="n">
        <v>0</v>
      </c>
      <c r="N179" s="33" t="n">
        <f aca="false">L179+M179</f>
        <v>49</v>
      </c>
      <c r="O179" s="34" t="n">
        <v>0</v>
      </c>
    </row>
    <row r="180" customFormat="false" ht="15" hidden="false" customHeight="true" outlineLevel="0" collapsed="false">
      <c r="A180" s="30" t="s">
        <v>235</v>
      </c>
      <c r="B180" s="30" t="s">
        <v>35</v>
      </c>
      <c r="C180" s="18" t="n">
        <v>0</v>
      </c>
      <c r="D180" s="18" t="s">
        <v>63</v>
      </c>
      <c r="E180" s="18" t="s">
        <v>64</v>
      </c>
      <c r="F180" s="31" t="n">
        <v>508</v>
      </c>
      <c r="G180" s="31" t="n">
        <v>461</v>
      </c>
      <c r="H180" s="18" t="n">
        <v>0</v>
      </c>
      <c r="I180" s="32" t="n">
        <v>7</v>
      </c>
      <c r="J180" s="32" t="n">
        <v>0</v>
      </c>
      <c r="K180" s="32" t="n">
        <v>40</v>
      </c>
      <c r="L180" s="31" t="n">
        <f aca="false">H180+I180+J180+K180</f>
        <v>47</v>
      </c>
      <c r="M180" s="32" t="n">
        <v>0</v>
      </c>
      <c r="N180" s="33" t="n">
        <f aca="false">L180+M180</f>
        <v>47</v>
      </c>
      <c r="O180" s="34" t="n">
        <v>0</v>
      </c>
    </row>
    <row r="181" customFormat="false" ht="15" hidden="false" customHeight="true" outlineLevel="0" collapsed="false">
      <c r="A181" s="30" t="s">
        <v>236</v>
      </c>
      <c r="B181" s="30" t="s">
        <v>35</v>
      </c>
      <c r="C181" s="18" t="n">
        <v>0</v>
      </c>
      <c r="D181" s="18" t="s">
        <v>63</v>
      </c>
      <c r="E181" s="18" t="s">
        <v>64</v>
      </c>
      <c r="F181" s="31" t="n">
        <v>508</v>
      </c>
      <c r="G181" s="31" t="n">
        <v>450</v>
      </c>
      <c r="H181" s="18" t="n">
        <v>0</v>
      </c>
      <c r="I181" s="32" t="n">
        <v>0</v>
      </c>
      <c r="J181" s="32" t="n">
        <v>0</v>
      </c>
      <c r="K181" s="32" t="n">
        <v>58</v>
      </c>
      <c r="L181" s="31" t="n">
        <f aca="false">H181+I181+J181+K181</f>
        <v>58</v>
      </c>
      <c r="M181" s="32" t="n">
        <v>0</v>
      </c>
      <c r="N181" s="33" t="n">
        <f aca="false">L181+M181</f>
        <v>58</v>
      </c>
      <c r="O181" s="34" t="n">
        <v>0</v>
      </c>
    </row>
    <row r="182" customFormat="false" ht="15" hidden="false" customHeight="true" outlineLevel="0" collapsed="false">
      <c r="A182" s="30" t="s">
        <v>237</v>
      </c>
      <c r="B182" s="30" t="s">
        <v>35</v>
      </c>
      <c r="C182" s="18" t="n">
        <v>1</v>
      </c>
      <c r="D182" s="18" t="s">
        <v>53</v>
      </c>
      <c r="E182" s="18" t="s">
        <v>58</v>
      </c>
      <c r="F182" s="31" t="n">
        <v>502</v>
      </c>
      <c r="G182" s="31" t="n">
        <v>337</v>
      </c>
      <c r="H182" s="18" t="n">
        <v>111</v>
      </c>
      <c r="I182" s="32" t="n">
        <v>0</v>
      </c>
      <c r="J182" s="32" t="n">
        <v>0</v>
      </c>
      <c r="K182" s="32" t="n">
        <v>54</v>
      </c>
      <c r="L182" s="31" t="n">
        <f aca="false">H182+I182+J182+K182</f>
        <v>165</v>
      </c>
      <c r="M182" s="32" t="n">
        <v>0</v>
      </c>
      <c r="N182" s="33" t="n">
        <f aca="false">L182+M182</f>
        <v>165</v>
      </c>
      <c r="O182" s="34" t="n">
        <v>7</v>
      </c>
    </row>
    <row r="183" customFormat="false" ht="15" hidden="false" customHeight="true" outlineLevel="0" collapsed="false">
      <c r="A183" s="30" t="s">
        <v>238</v>
      </c>
      <c r="B183" s="30" t="s">
        <v>35</v>
      </c>
      <c r="C183" s="18" t="n">
        <v>1</v>
      </c>
      <c r="D183" s="18" t="s">
        <v>53</v>
      </c>
      <c r="E183" s="18" t="s">
        <v>58</v>
      </c>
      <c r="F183" s="31" t="n">
        <v>502</v>
      </c>
      <c r="G183" s="31" t="n">
        <v>350</v>
      </c>
      <c r="H183" s="18" t="n">
        <v>98</v>
      </c>
      <c r="I183" s="32" t="n">
        <v>0</v>
      </c>
      <c r="J183" s="32" t="n">
        <v>0</v>
      </c>
      <c r="K183" s="32" t="n">
        <v>54</v>
      </c>
      <c r="L183" s="31" t="n">
        <f aca="false">H183+I183+J183+K183</f>
        <v>152</v>
      </c>
      <c r="M183" s="32" t="n">
        <v>0</v>
      </c>
      <c r="N183" s="33" t="n">
        <f aca="false">L183+M183</f>
        <v>152</v>
      </c>
      <c r="O183" s="34" t="n">
        <v>1</v>
      </c>
    </row>
    <row r="184" customFormat="false" ht="15" hidden="false" customHeight="true" outlineLevel="0" collapsed="false">
      <c r="A184" s="30" t="s">
        <v>239</v>
      </c>
      <c r="B184" s="30" t="s">
        <v>35</v>
      </c>
      <c r="C184" s="18" t="n">
        <v>1</v>
      </c>
      <c r="D184" s="18" t="s">
        <v>53</v>
      </c>
      <c r="E184" s="18" t="s">
        <v>58</v>
      </c>
      <c r="F184" s="31" t="n">
        <v>502</v>
      </c>
      <c r="G184" s="31" t="n">
        <v>359</v>
      </c>
      <c r="H184" s="18" t="n">
        <v>89</v>
      </c>
      <c r="I184" s="32" t="n">
        <v>0</v>
      </c>
      <c r="J184" s="32" t="n">
        <v>0</v>
      </c>
      <c r="K184" s="32" t="n">
        <v>54</v>
      </c>
      <c r="L184" s="31" t="n">
        <f aca="false">H184+I184+J184+K184</f>
        <v>143</v>
      </c>
      <c r="M184" s="32" t="n">
        <v>0</v>
      </c>
      <c r="N184" s="33" t="n">
        <f aca="false">L184+M184</f>
        <v>143</v>
      </c>
      <c r="O184" s="34" t="n">
        <v>6</v>
      </c>
    </row>
    <row r="185" customFormat="false" ht="15" hidden="false" customHeight="true" outlineLevel="0" collapsed="false">
      <c r="A185" s="30" t="s">
        <v>240</v>
      </c>
      <c r="B185" s="30" t="s">
        <v>35</v>
      </c>
      <c r="C185" s="18" t="n">
        <v>1</v>
      </c>
      <c r="D185" s="18" t="s">
        <v>63</v>
      </c>
      <c r="E185" s="18" t="s">
        <v>54</v>
      </c>
      <c r="F185" s="31" t="n">
        <v>502</v>
      </c>
      <c r="G185" s="31" t="n">
        <v>454</v>
      </c>
      <c r="H185" s="18" t="n">
        <v>0</v>
      </c>
      <c r="I185" s="32" t="n">
        <v>11</v>
      </c>
      <c r="J185" s="32" t="n">
        <v>0</v>
      </c>
      <c r="K185" s="32" t="n">
        <v>37</v>
      </c>
      <c r="L185" s="31" t="n">
        <f aca="false">H185+I185+J185+K185</f>
        <v>48</v>
      </c>
      <c r="M185" s="32" t="n">
        <v>0</v>
      </c>
      <c r="N185" s="33" t="n">
        <f aca="false">L185+M185</f>
        <v>48</v>
      </c>
      <c r="O185" s="34" t="n">
        <v>0</v>
      </c>
    </row>
    <row r="186" customFormat="false" ht="15" hidden="false" customHeight="true" outlineLevel="0" collapsed="false">
      <c r="A186" s="30" t="s">
        <v>241</v>
      </c>
      <c r="B186" s="30" t="s">
        <v>35</v>
      </c>
      <c r="C186" s="18" t="n">
        <v>1</v>
      </c>
      <c r="D186" s="18" t="s">
        <v>53</v>
      </c>
      <c r="E186" s="18" t="s">
        <v>58</v>
      </c>
      <c r="F186" s="31" t="n">
        <v>502</v>
      </c>
      <c r="G186" s="31" t="n">
        <v>356</v>
      </c>
      <c r="H186" s="18" t="n">
        <v>92</v>
      </c>
      <c r="I186" s="32" t="n">
        <v>0</v>
      </c>
      <c r="J186" s="32" t="n">
        <v>0</v>
      </c>
      <c r="K186" s="32" t="n">
        <v>54</v>
      </c>
      <c r="L186" s="31" t="n">
        <f aca="false">H186+I186+J186+K186</f>
        <v>146</v>
      </c>
      <c r="M186" s="32" t="n">
        <v>0</v>
      </c>
      <c r="N186" s="33" t="n">
        <f aca="false">L186+M186</f>
        <v>146</v>
      </c>
      <c r="O186" s="34" t="n">
        <v>5</v>
      </c>
    </row>
    <row r="187" customFormat="false" ht="15" hidden="false" customHeight="true" outlineLevel="0" collapsed="false">
      <c r="A187" s="30" t="s">
        <v>242</v>
      </c>
      <c r="B187" s="30" t="s">
        <v>35</v>
      </c>
      <c r="C187" s="18" t="n">
        <v>1</v>
      </c>
      <c r="D187" s="18" t="s">
        <v>53</v>
      </c>
      <c r="E187" s="18" t="s">
        <v>58</v>
      </c>
      <c r="F187" s="31" t="n">
        <v>502</v>
      </c>
      <c r="G187" s="31" t="n">
        <v>344</v>
      </c>
      <c r="H187" s="18" t="n">
        <v>104</v>
      </c>
      <c r="I187" s="32" t="n">
        <v>0</v>
      </c>
      <c r="J187" s="32" t="n">
        <v>0</v>
      </c>
      <c r="K187" s="32" t="n">
        <v>54</v>
      </c>
      <c r="L187" s="31" t="n">
        <f aca="false">H187+I187+J187+K187</f>
        <v>158</v>
      </c>
      <c r="M187" s="32" t="n">
        <v>0</v>
      </c>
      <c r="N187" s="33" t="n">
        <f aca="false">L187+M187</f>
        <v>158</v>
      </c>
      <c r="O187" s="34" t="n">
        <v>21</v>
      </c>
    </row>
    <row r="188" customFormat="false" ht="15" hidden="false" customHeight="true" outlineLevel="0" collapsed="false">
      <c r="A188" s="30" t="s">
        <v>243</v>
      </c>
      <c r="B188" s="30" t="s">
        <v>35</v>
      </c>
      <c r="C188" s="18" t="n">
        <v>2</v>
      </c>
      <c r="D188" s="18" t="s">
        <v>53</v>
      </c>
      <c r="E188" s="18" t="s">
        <v>64</v>
      </c>
      <c r="F188" s="31" t="n">
        <v>502</v>
      </c>
      <c r="G188" s="31" t="n">
        <v>382</v>
      </c>
      <c r="H188" s="18" t="n">
        <v>66</v>
      </c>
      <c r="I188" s="32" t="n">
        <v>0</v>
      </c>
      <c r="J188" s="32" t="n">
        <v>0</v>
      </c>
      <c r="K188" s="32" t="n">
        <v>54</v>
      </c>
      <c r="L188" s="31" t="n">
        <f aca="false">H188+I188+J188+K188</f>
        <v>120</v>
      </c>
      <c r="M188" s="32" t="n">
        <v>0</v>
      </c>
      <c r="N188" s="33" t="n">
        <f aca="false">L188+M188</f>
        <v>120</v>
      </c>
      <c r="O188" s="34" t="n">
        <v>0</v>
      </c>
    </row>
    <row r="189" customFormat="false" ht="15" hidden="false" customHeight="true" outlineLevel="0" collapsed="false">
      <c r="A189" s="30" t="s">
        <v>244</v>
      </c>
      <c r="B189" s="30" t="s">
        <v>35</v>
      </c>
      <c r="C189" s="18" t="n">
        <v>2</v>
      </c>
      <c r="D189" s="18" t="s">
        <v>53</v>
      </c>
      <c r="E189" s="18" t="s">
        <v>64</v>
      </c>
      <c r="F189" s="31" t="n">
        <v>502</v>
      </c>
      <c r="G189" s="31" t="n">
        <v>372</v>
      </c>
      <c r="H189" s="18" t="n">
        <v>76</v>
      </c>
      <c r="I189" s="32" t="n">
        <v>0</v>
      </c>
      <c r="J189" s="32" t="n">
        <v>0</v>
      </c>
      <c r="K189" s="32" t="n">
        <v>54</v>
      </c>
      <c r="L189" s="31" t="n">
        <f aca="false">H189+I189+J189+K189</f>
        <v>130</v>
      </c>
      <c r="M189" s="32" t="n">
        <v>0</v>
      </c>
      <c r="N189" s="33" t="n">
        <f aca="false">L189+M189</f>
        <v>130</v>
      </c>
      <c r="O189" s="34" t="n">
        <v>20</v>
      </c>
    </row>
    <row r="190" customFormat="false" ht="15" hidden="false" customHeight="true" outlineLevel="0" collapsed="false">
      <c r="A190" s="30" t="s">
        <v>245</v>
      </c>
      <c r="B190" s="30" t="s">
        <v>35</v>
      </c>
      <c r="C190" s="18" t="n">
        <v>2</v>
      </c>
      <c r="D190" s="18" t="s">
        <v>53</v>
      </c>
      <c r="E190" s="18" t="s">
        <v>58</v>
      </c>
      <c r="F190" s="31" t="n">
        <v>502</v>
      </c>
      <c r="G190" s="31" t="n">
        <v>358</v>
      </c>
      <c r="H190" s="18" t="n">
        <v>90</v>
      </c>
      <c r="I190" s="32" t="n">
        <v>0</v>
      </c>
      <c r="J190" s="32" t="n">
        <v>0</v>
      </c>
      <c r="K190" s="32" t="n">
        <v>54</v>
      </c>
      <c r="L190" s="31" t="n">
        <f aca="false">H190+I190+J190+K190</f>
        <v>144</v>
      </c>
      <c r="M190" s="32" t="n">
        <v>3</v>
      </c>
      <c r="N190" s="33" t="n">
        <f aca="false">L190+M190</f>
        <v>147</v>
      </c>
      <c r="O190" s="34" t="n">
        <v>14</v>
      </c>
    </row>
    <row r="191" customFormat="false" ht="15" hidden="false" customHeight="true" outlineLevel="0" collapsed="false">
      <c r="A191" s="30" t="s">
        <v>246</v>
      </c>
      <c r="B191" s="30" t="s">
        <v>35</v>
      </c>
      <c r="C191" s="18" t="n">
        <v>2</v>
      </c>
      <c r="D191" s="18" t="s">
        <v>53</v>
      </c>
      <c r="E191" s="18" t="s">
        <v>247</v>
      </c>
      <c r="F191" s="31" t="n">
        <v>502</v>
      </c>
      <c r="G191" s="31" t="n">
        <v>384</v>
      </c>
      <c r="H191" s="18" t="n">
        <v>64</v>
      </c>
      <c r="I191" s="32" t="n">
        <v>0</v>
      </c>
      <c r="J191" s="32" t="n">
        <v>0</v>
      </c>
      <c r="K191" s="32" t="n">
        <v>54</v>
      </c>
      <c r="L191" s="31" t="n">
        <f aca="false">H191+I191+J191+K191</f>
        <v>118</v>
      </c>
      <c r="M191" s="32" t="n">
        <v>0</v>
      </c>
      <c r="N191" s="33" t="n">
        <f aca="false">L191+M191</f>
        <v>118</v>
      </c>
      <c r="O191" s="34" t="n">
        <v>1</v>
      </c>
    </row>
    <row r="192" customFormat="false" ht="15" hidden="false" customHeight="true" outlineLevel="0" collapsed="false">
      <c r="A192" s="30" t="s">
        <v>248</v>
      </c>
      <c r="B192" s="30" t="s">
        <v>35</v>
      </c>
      <c r="C192" s="18" t="n">
        <v>2</v>
      </c>
      <c r="D192" s="18" t="s">
        <v>53</v>
      </c>
      <c r="E192" s="18" t="s">
        <v>58</v>
      </c>
      <c r="F192" s="31" t="n">
        <v>502</v>
      </c>
      <c r="G192" s="31" t="n">
        <v>479</v>
      </c>
      <c r="H192" s="18" t="n">
        <v>0</v>
      </c>
      <c r="I192" s="32" t="n">
        <v>23</v>
      </c>
      <c r="J192" s="32" t="n">
        <v>0</v>
      </c>
      <c r="K192" s="32" t="n">
        <v>0</v>
      </c>
      <c r="L192" s="31" t="n">
        <f aca="false">H192+I192+J192+K192</f>
        <v>23</v>
      </c>
      <c r="M192" s="32" t="n">
        <v>0</v>
      </c>
      <c r="N192" s="33" t="n">
        <f aca="false">L192+M192</f>
        <v>23</v>
      </c>
      <c r="O192" s="34" t="n">
        <v>7</v>
      </c>
    </row>
    <row r="193" customFormat="false" ht="15" hidden="false" customHeight="true" outlineLevel="0" collapsed="false">
      <c r="A193" s="30" t="s">
        <v>249</v>
      </c>
      <c r="B193" s="30" t="s">
        <v>35</v>
      </c>
      <c r="C193" s="18" t="n">
        <v>2</v>
      </c>
      <c r="D193" s="18" t="s">
        <v>53</v>
      </c>
      <c r="E193" s="18" t="s">
        <v>58</v>
      </c>
      <c r="F193" s="31" t="n">
        <v>502</v>
      </c>
      <c r="G193" s="31" t="n">
        <v>499</v>
      </c>
      <c r="H193" s="18" t="n">
        <v>0</v>
      </c>
      <c r="I193" s="32" t="n">
        <v>3</v>
      </c>
      <c r="J193" s="32" t="n">
        <v>0</v>
      </c>
      <c r="K193" s="32" t="n">
        <v>0</v>
      </c>
      <c r="L193" s="31" t="n">
        <f aca="false">H193+I193+J193+K193</f>
        <v>3</v>
      </c>
      <c r="M193" s="32" t="n">
        <v>0</v>
      </c>
      <c r="N193" s="33" t="n">
        <f aca="false">L193+M193</f>
        <v>3</v>
      </c>
      <c r="O193" s="34" t="n">
        <v>0</v>
      </c>
    </row>
    <row r="194" customFormat="false" ht="19.5" hidden="false" customHeight="true" outlineLevel="0" collapsed="false">
      <c r="A194" s="35" t="s">
        <v>250</v>
      </c>
      <c r="B194" s="36"/>
      <c r="C194" s="37"/>
      <c r="D194" s="37"/>
      <c r="E194" s="37"/>
      <c r="F194" s="38" t="n">
        <f aca="false">SUM(F4:F193)</f>
        <v>95716</v>
      </c>
      <c r="G194" s="38" t="n">
        <f aca="false">SUM(G4:G193)</f>
        <v>83046</v>
      </c>
      <c r="H194" s="38" t="n">
        <f aca="false">SUM(H4:H193)</f>
        <v>5881</v>
      </c>
      <c r="I194" s="38" t="n">
        <f aca="false">SUM(I4:I193)</f>
        <v>2140</v>
      </c>
      <c r="J194" s="38" t="n">
        <f aca="false">SUM(J4:J193)</f>
        <v>12</v>
      </c>
      <c r="K194" s="38" t="n">
        <f aca="false">SUM(K4:K193)</f>
        <v>4637</v>
      </c>
      <c r="L194" s="38" t="n">
        <f aca="false">SUM(L4:L193)</f>
        <v>12670</v>
      </c>
      <c r="M194" s="38" t="n">
        <f aca="false">SUM(M4:M193)</f>
        <v>69</v>
      </c>
      <c r="N194" s="38" t="n">
        <f aca="false">SUM(N4:N193)</f>
        <v>12739</v>
      </c>
      <c r="O194" s="38" t="n">
        <f aca="false">SUM(O4:O193)</f>
        <v>2464</v>
      </c>
    </row>
  </sheetData>
  <mergeCells count="2">
    <mergeCell ref="A1:O1"/>
    <mergeCell ref="A2:O2"/>
  </mergeCells>
  <conditionalFormatting sqref="N4:N193">
    <cfRule type="cellIs" priority="2" operator="equal" aboveAverage="0" equalAverage="0" bottom="0" percent="0" rank="0" text="" dxfId="0">
      <formula>0</formula>
    </cfRule>
    <cfRule type="cellIs" priority="3" operator="between" aboveAverage="0" equalAverage="0" bottom="0" percent="0" rank="0" text="" dxfId="1">
      <formula>1</formula>
      <formula>30</formula>
    </cfRule>
    <cfRule type="cellIs" priority="4" operator="between" aboveAverage="0" equalAverage="0" bottom="0" percent="0" rank="0" text="" dxfId="2">
      <formula>31</formula>
      <formula>100</formula>
    </cfRule>
    <cfRule type="cellIs" priority="5" operator="greaterThan" aboveAverage="0" equalAverage="0" bottom="0" percent="0" rank="0" text="" dxfId="3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2026-06-10T12:26:35Z</dcterms:created>
  <dc:creator>openpyxl</dc:creator>
  <dc:description/>
  <dc:language>en-US</dc:language>
  <cp:lastModifiedBy>Johan Benade</cp:lastModifiedBy>
  <dcterms:modified xsi:type="dcterms:W3CDTF">2026-06-11T05:25:49Z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